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PROJIECT\东阁\"/>
    </mc:Choice>
  </mc:AlternateContent>
  <xr:revisionPtr revIDLastSave="0" documentId="13_ncr:1_{70F95957-7DC3-48AE-BB3D-AB218A64714B}" xr6:coauthVersionLast="47" xr6:coauthVersionMax="47" xr10:uidLastSave="{00000000-0000-0000-0000-000000000000}"/>
  <bookViews>
    <workbookView xWindow="-98" yWindow="-98" windowWidth="21795" windowHeight="11625" tabRatio="734" firstSheet="6" activeTab="15" xr2:uid="{00000000-000D-0000-FFFF-FFFF00000000}"/>
  </bookViews>
  <sheets>
    <sheet name="主页" sheetId="1" r:id="rId1"/>
    <sheet name="Sheet35" sheetId="35" r:id="rId2"/>
    <sheet name="Sheet36" sheetId="36" r:id="rId3"/>
    <sheet name="Sheet37" sheetId="37" r:id="rId4"/>
    <sheet name="Sheet38" sheetId="38" r:id="rId5"/>
    <sheet name="Sheet39" sheetId="39" r:id="rId6"/>
    <sheet name="Sheet40" sheetId="40" r:id="rId7"/>
    <sheet name="Sheet42" sheetId="42" r:id="rId8"/>
    <sheet name="Sheet6" sheetId="54" r:id="rId9"/>
    <sheet name="Sheet41" sheetId="41" r:id="rId10"/>
    <sheet name="Sheet43" sheetId="43" r:id="rId11"/>
    <sheet name="Sheet44" sheetId="44" r:id="rId12"/>
    <sheet name="Sheet45" sheetId="45" r:id="rId13"/>
    <sheet name="Sheet46" sheetId="46" r:id="rId14"/>
    <sheet name="Sheet47" sheetId="47" r:id="rId15"/>
    <sheet name="Sheet48最后数" sheetId="48" r:id="rId16"/>
  </sheets>
  <externalReferences>
    <externalReference r:id="rId17"/>
  </externalReferences>
  <definedNames>
    <definedName name="_xlnm._FilterDatabase" localSheetId="1" hidden="1">Sheet35!$A$3:$H$3</definedName>
    <definedName name="_xlnm._FilterDatabase" localSheetId="2" hidden="1">Sheet36!$A$3:$H$55</definedName>
    <definedName name="_xlnm._FilterDatabase" localSheetId="3" hidden="1">Sheet37!$A$3:$H$57</definedName>
  </definedNames>
  <calcPr calcId="191029"/>
  <pivotCaches>
    <pivotCache cacheId="20" r:id="rId18"/>
    <pivotCache cacheId="21" r:id="rId19"/>
    <pivotCache cacheId="22" r:id="rId20"/>
    <pivotCache cacheId="23" r:id="rId21"/>
    <pivotCache cacheId="24" r:id="rId22"/>
    <pivotCache cacheId="25" r:id="rId23"/>
    <pivotCache cacheId="26" r:id="rId24"/>
    <pivotCache cacheId="27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2" i="43" l="1"/>
  <c r="F82" i="43" l="1"/>
  <c r="F83" i="43"/>
  <c r="F80" i="43"/>
  <c r="F78" i="43"/>
  <c r="F76" i="43"/>
  <c r="F75" i="43"/>
  <c r="F74" i="43"/>
  <c r="F72" i="43"/>
  <c r="F68" i="43"/>
  <c r="F67" i="43"/>
  <c r="F66" i="43"/>
  <c r="F62" i="43"/>
  <c r="F61" i="43"/>
  <c r="F59" i="43"/>
  <c r="F58" i="43"/>
  <c r="F56" i="43"/>
  <c r="F54" i="43"/>
  <c r="F49" i="43"/>
  <c r="F47" i="43"/>
  <c r="F45" i="43"/>
  <c r="F44" i="43"/>
  <c r="F43" i="43"/>
  <c r="F41" i="43"/>
  <c r="F33" i="43"/>
  <c r="F31" i="43"/>
  <c r="F28" i="43"/>
  <c r="F27" i="43"/>
  <c r="F24" i="43"/>
  <c r="F23" i="43"/>
  <c r="F22" i="43"/>
  <c r="F19" i="43"/>
  <c r="F12" i="43"/>
  <c r="F11" i="43"/>
  <c r="F10" i="43"/>
  <c r="F8" i="43"/>
  <c r="F5" i="43"/>
  <c r="F4" i="43"/>
  <c r="G62" i="41"/>
  <c r="F59" i="41"/>
  <c r="F58" i="41"/>
  <c r="F55" i="41"/>
  <c r="F54" i="41"/>
  <c r="F52" i="41"/>
  <c r="F49" i="41"/>
  <c r="F47" i="41"/>
  <c r="F36" i="41"/>
  <c r="F35" i="41"/>
  <c r="F31" i="41"/>
  <c r="F30" i="41"/>
  <c r="F29" i="41"/>
  <c r="F28" i="41"/>
  <c r="F22" i="41"/>
  <c r="F21" i="41"/>
  <c r="F20" i="41"/>
  <c r="F19" i="41"/>
  <c r="F16" i="41"/>
  <c r="F15" i="41"/>
  <c r="F14" i="41"/>
  <c r="F13" i="41"/>
  <c r="F11" i="41"/>
  <c r="F9" i="41"/>
  <c r="F6" i="41"/>
  <c r="F5" i="41"/>
  <c r="F4" i="41"/>
  <c r="H56" i="42"/>
  <c r="F4" i="42"/>
  <c r="F51" i="42"/>
  <c r="F50" i="42"/>
  <c r="F43" i="42"/>
  <c r="F41" i="42"/>
  <c r="F39" i="42"/>
  <c r="F38" i="42"/>
  <c r="F36" i="42"/>
  <c r="F32" i="42"/>
  <c r="F31" i="42"/>
  <c r="F30" i="42"/>
  <c r="F29" i="42"/>
  <c r="F27" i="42"/>
  <c r="F26" i="42"/>
  <c r="F24" i="42"/>
  <c r="F21" i="42"/>
  <c r="F20" i="42"/>
  <c r="F18" i="42"/>
  <c r="F14" i="42"/>
  <c r="F11" i="42"/>
  <c r="F10" i="42"/>
  <c r="F7" i="42"/>
  <c r="F6" i="42"/>
  <c r="H53" i="40"/>
  <c r="G53" i="40"/>
  <c r="F52" i="40"/>
  <c r="F51" i="40"/>
  <c r="F49" i="40"/>
  <c r="F48" i="40"/>
  <c r="F47" i="40"/>
  <c r="F46" i="40"/>
  <c r="F45" i="40"/>
  <c r="F42" i="40"/>
  <c r="F41" i="40"/>
  <c r="F40" i="40"/>
  <c r="F38" i="40"/>
  <c r="F37" i="40"/>
  <c r="F34" i="40"/>
  <c r="F33" i="40"/>
  <c r="F30" i="40"/>
  <c r="F29" i="40"/>
  <c r="F27" i="40"/>
  <c r="F26" i="40"/>
  <c r="F25" i="40"/>
  <c r="F23" i="40"/>
  <c r="F21" i="40"/>
  <c r="F17" i="40"/>
  <c r="F14" i="40"/>
  <c r="F12" i="40"/>
  <c r="G11" i="40"/>
  <c r="F10" i="40"/>
  <c r="F8" i="40"/>
  <c r="F7" i="40"/>
  <c r="G51" i="39"/>
  <c r="F50" i="39"/>
  <c r="F48" i="39"/>
  <c r="F47" i="39"/>
  <c r="F45" i="39"/>
  <c r="F43" i="39"/>
  <c r="F42" i="39"/>
  <c r="F41" i="39"/>
  <c r="F39" i="39"/>
  <c r="F38" i="39"/>
  <c r="F36" i="39"/>
  <c r="F35" i="39"/>
  <c r="F33" i="39"/>
  <c r="F32" i="39"/>
  <c r="F31" i="39"/>
  <c r="F29" i="39"/>
  <c r="F28" i="39"/>
  <c r="F27" i="39"/>
  <c r="F25" i="39"/>
  <c r="F22" i="39"/>
  <c r="F21" i="39"/>
  <c r="F19" i="39"/>
  <c r="F18" i="39"/>
  <c r="F17" i="39"/>
  <c r="F14" i="39"/>
  <c r="F10" i="39"/>
  <c r="F9" i="39"/>
  <c r="F8" i="39"/>
  <c r="F7" i="39"/>
  <c r="F5" i="39"/>
  <c r="H54" i="38"/>
  <c r="F54" i="38"/>
  <c r="F53" i="38"/>
  <c r="F52" i="38"/>
  <c r="F51" i="38"/>
  <c r="F50" i="38"/>
  <c r="F44" i="38"/>
  <c r="F43" i="38"/>
  <c r="F42" i="38"/>
  <c r="H41" i="38"/>
  <c r="F40" i="38"/>
  <c r="F38" i="38"/>
  <c r="F37" i="38"/>
  <c r="F34" i="38"/>
  <c r="F33" i="38"/>
  <c r="F32" i="38"/>
  <c r="F31" i="38"/>
  <c r="F27" i="38"/>
  <c r="F24" i="38"/>
  <c r="F23" i="38"/>
  <c r="F22" i="38"/>
  <c r="F21" i="38"/>
  <c r="F20" i="38"/>
  <c r="F18" i="38"/>
  <c r="F17" i="38"/>
  <c r="F16" i="38"/>
  <c r="F14" i="38"/>
  <c r="F12" i="38"/>
  <c r="F10" i="38"/>
  <c r="F9" i="38"/>
  <c r="F5" i="38"/>
  <c r="F55" i="37"/>
  <c r="F56" i="37"/>
  <c r="F53" i="37"/>
  <c r="H51" i="37"/>
  <c r="H50" i="37"/>
  <c r="F40" i="37"/>
  <c r="F32" i="37"/>
  <c r="F52" i="37"/>
  <c r="F51" i="37"/>
  <c r="F49" i="37"/>
  <c r="F47" i="37"/>
  <c r="F46" i="37"/>
  <c r="F41" i="37"/>
  <c r="F37" i="37"/>
  <c r="F36" i="37"/>
  <c r="F34" i="37"/>
  <c r="F33" i="37"/>
  <c r="F26" i="37"/>
  <c r="F25" i="37"/>
  <c r="F24" i="37"/>
  <c r="F22" i="37"/>
  <c r="H18" i="37"/>
  <c r="F21" i="37"/>
  <c r="F20" i="37"/>
  <c r="F18" i="37"/>
  <c r="F16" i="37"/>
  <c r="F13" i="37"/>
  <c r="F9" i="37"/>
  <c r="F8" i="37"/>
  <c r="H43" i="36"/>
  <c r="H44" i="36"/>
  <c r="F39" i="36"/>
  <c r="F36" i="36"/>
  <c r="F35" i="36"/>
  <c r="H33" i="36"/>
  <c r="F33" i="36"/>
  <c r="F32" i="36"/>
  <c r="F28" i="36"/>
  <c r="F23" i="36"/>
  <c r="H17" i="36"/>
  <c r="H16" i="36"/>
  <c r="F13" i="36"/>
  <c r="G12" i="36"/>
  <c r="G9" i="36"/>
  <c r="F10" i="36"/>
  <c r="F8" i="36"/>
  <c r="F6" i="36"/>
  <c r="F4" i="36"/>
  <c r="F38" i="35"/>
  <c r="F37" i="35"/>
  <c r="G37" i="35" s="1"/>
  <c r="F35" i="35"/>
  <c r="H27" i="35"/>
  <c r="G4" i="35"/>
  <c r="F28" i="35"/>
  <c r="G27" i="35" s="1"/>
  <c r="G25" i="35"/>
  <c r="G22" i="35"/>
  <c r="G17" i="35"/>
  <c r="G12" i="35"/>
  <c r="G8" i="35"/>
  <c r="F15" i="35"/>
  <c r="G15" i="35" s="1"/>
  <c r="F4" i="35"/>
  <c r="H4" i="35" s="1"/>
  <c r="H19" i="37" l="1"/>
</calcChain>
</file>

<file path=xl/sharedStrings.xml><?xml version="1.0" encoding="utf-8"?>
<sst xmlns="http://schemas.openxmlformats.org/spreadsheetml/2006/main" count="1838" uniqueCount="369">
  <si>
    <t>日期</t>
    <phoneticPr fontId="1" type="noConversion"/>
  </si>
  <si>
    <t>返回主页</t>
    <phoneticPr fontId="1" type="noConversion"/>
  </si>
  <si>
    <t>2024年一月综合财报</t>
    <phoneticPr fontId="1" type="noConversion"/>
  </si>
  <si>
    <t>星期</t>
    <phoneticPr fontId="1" type="noConversion"/>
  </si>
  <si>
    <t>类型</t>
    <phoneticPr fontId="1" type="noConversion"/>
  </si>
  <si>
    <t>收/支</t>
    <phoneticPr fontId="1" type="noConversion"/>
  </si>
  <si>
    <t>详细</t>
    <phoneticPr fontId="1" type="noConversion"/>
  </si>
  <si>
    <t>金额</t>
    <phoneticPr fontId="1" type="noConversion"/>
  </si>
  <si>
    <t>总计</t>
    <phoneticPr fontId="1" type="noConversion"/>
  </si>
  <si>
    <t>核算列</t>
    <phoneticPr fontId="1" type="noConversion"/>
  </si>
  <si>
    <t>学习</t>
  </si>
  <si>
    <t>MO</t>
  </si>
  <si>
    <t>收</t>
  </si>
  <si>
    <t>外务</t>
  </si>
  <si>
    <t>cyq群红包</t>
    <phoneticPr fontId="1" type="noConversion"/>
  </si>
  <si>
    <t>支</t>
  </si>
  <si>
    <t>cyq群红包 组织部群</t>
    <phoneticPr fontId="1" type="noConversion"/>
  </si>
  <si>
    <t>生活</t>
  </si>
  <si>
    <t>交通</t>
    <phoneticPr fontId="1" type="noConversion"/>
  </si>
  <si>
    <t>饮食</t>
  </si>
  <si>
    <t>TU</t>
    <phoneticPr fontId="1" type="noConversion"/>
  </si>
  <si>
    <t>3+10+12</t>
    <phoneticPr fontId="1" type="noConversion"/>
  </si>
  <si>
    <t>WE</t>
    <phoneticPr fontId="1" type="noConversion"/>
  </si>
  <si>
    <t>TH</t>
    <phoneticPr fontId="1" type="noConversion"/>
  </si>
  <si>
    <t>FR</t>
    <phoneticPr fontId="1" type="noConversion"/>
  </si>
  <si>
    <t>桶装水合资</t>
    <phoneticPr fontId="1" type="noConversion"/>
  </si>
  <si>
    <t>5+12+12</t>
    <phoneticPr fontId="1" type="noConversion"/>
  </si>
  <si>
    <t>三个课本</t>
    <phoneticPr fontId="1" type="noConversion"/>
  </si>
  <si>
    <t>哈喽出行</t>
    <phoneticPr fontId="1" type="noConversion"/>
  </si>
  <si>
    <t>SA</t>
    <phoneticPr fontId="1" type="noConversion"/>
  </si>
  <si>
    <t>3+14+11</t>
    <phoneticPr fontId="1" type="noConversion"/>
  </si>
  <si>
    <t>SU</t>
    <phoneticPr fontId="1" type="noConversion"/>
  </si>
  <si>
    <t>3+12+12</t>
    <phoneticPr fontId="1" type="noConversion"/>
  </si>
  <si>
    <t>MO</t>
    <phoneticPr fontId="1" type="noConversion"/>
  </si>
  <si>
    <t>话费29.99+20</t>
    <phoneticPr fontId="1" type="noConversion"/>
  </si>
  <si>
    <t>已核算</t>
    <phoneticPr fontId="1" type="noConversion"/>
  </si>
  <si>
    <t>3+14+12</t>
    <phoneticPr fontId="1" type="noConversion"/>
  </si>
  <si>
    <t>生病</t>
    <phoneticPr fontId="1" type="noConversion"/>
  </si>
  <si>
    <t>咸话梅</t>
    <phoneticPr fontId="1" type="noConversion"/>
  </si>
  <si>
    <t>3+13</t>
    <phoneticPr fontId="1" type="noConversion"/>
  </si>
  <si>
    <t>理发</t>
    <phoneticPr fontId="1" type="noConversion"/>
  </si>
  <si>
    <t>51单片机</t>
    <phoneticPr fontId="1" type="noConversion"/>
  </si>
  <si>
    <t>MA 100</t>
    <phoneticPr fontId="1" type="noConversion"/>
  </si>
  <si>
    <t>矿泉水</t>
    <phoneticPr fontId="1" type="noConversion"/>
  </si>
  <si>
    <t>特别立项</t>
  </si>
  <si>
    <t>原画 诚学信付</t>
    <phoneticPr fontId="1" type="noConversion"/>
  </si>
  <si>
    <t>C语言</t>
    <phoneticPr fontId="1" type="noConversion"/>
  </si>
  <si>
    <t>接送弟</t>
    <phoneticPr fontId="1" type="noConversion"/>
  </si>
  <si>
    <t>买菜</t>
    <phoneticPr fontId="1" type="noConversion"/>
  </si>
  <si>
    <t>笔芯 草稿 笔</t>
    <phoneticPr fontId="1" type="noConversion"/>
  </si>
  <si>
    <t>拼多多抽奖</t>
    <phoneticPr fontId="1" type="noConversion"/>
  </si>
  <si>
    <t>卖废品</t>
    <phoneticPr fontId="1" type="noConversion"/>
  </si>
  <si>
    <t>总计处</t>
    <phoneticPr fontId="1" type="noConversion"/>
  </si>
  <si>
    <t>返回主页</t>
    <phoneticPr fontId="1" type="noConversion"/>
  </si>
  <si>
    <t>一月</t>
    <phoneticPr fontId="1" type="noConversion"/>
  </si>
  <si>
    <t>行标签</t>
  </si>
  <si>
    <t>总计</t>
  </si>
  <si>
    <t>求和项:金额</t>
  </si>
  <si>
    <t>2024年二月综合财报</t>
    <phoneticPr fontId="1" type="noConversion"/>
  </si>
  <si>
    <t>TH</t>
  </si>
  <si>
    <t>市场买菜</t>
    <phoneticPr fontId="1" type="noConversion"/>
  </si>
  <si>
    <t>带弟大学城 餐费38+餐饮14 +水4.20</t>
    <phoneticPr fontId="1" type="noConversion"/>
  </si>
  <si>
    <t>支</t>
    <phoneticPr fontId="1" type="noConversion"/>
  </si>
  <si>
    <t>BA 500</t>
    <phoneticPr fontId="1" type="noConversion"/>
  </si>
  <si>
    <t>Stephanie66.06 何善波2.88 张林2.88 尹常有4.62 红包</t>
    <phoneticPr fontId="1" type="noConversion"/>
  </si>
  <si>
    <t>红包高中宿舍群8 部门群12</t>
    <phoneticPr fontId="1" type="noConversion"/>
  </si>
  <si>
    <t>卡一20 卡二30</t>
    <phoneticPr fontId="1" type="noConversion"/>
  </si>
  <si>
    <t>组织部三师姐0.08+1.35+0.58 自己收回2.27+1.92+0.88+0.66</t>
    <phoneticPr fontId="1" type="noConversion"/>
  </si>
  <si>
    <t>哈喽共享单车</t>
    <phoneticPr fontId="1" type="noConversion"/>
  </si>
  <si>
    <t>打车哈喽四人东莞广州</t>
    <phoneticPr fontId="1" type="noConversion"/>
  </si>
  <si>
    <t>陈洋舅舅</t>
    <phoneticPr fontId="1" type="noConversion"/>
  </si>
  <si>
    <t>深圳广州高铁二人+打车</t>
    <phoneticPr fontId="1" type="noConversion"/>
  </si>
  <si>
    <t>原画</t>
    <phoneticPr fontId="1" type="noConversion"/>
  </si>
  <si>
    <t>2/1至2/14 交通20+20+20+非自己卡50</t>
    <phoneticPr fontId="1" type="noConversion"/>
  </si>
  <si>
    <t>水</t>
    <phoneticPr fontId="1" type="noConversion"/>
  </si>
  <si>
    <t>饮料二瓶加塑料杯</t>
    <phoneticPr fontId="1" type="noConversion"/>
  </si>
  <si>
    <t>目前卡内</t>
    <phoneticPr fontId="1" type="noConversion"/>
  </si>
  <si>
    <t>哈喽打车</t>
    <phoneticPr fontId="1" type="noConversion"/>
  </si>
  <si>
    <t>电脑主板</t>
    <phoneticPr fontId="1" type="noConversion"/>
  </si>
  <si>
    <t>6+18+13</t>
    <phoneticPr fontId="1" type="noConversion"/>
  </si>
  <si>
    <t>DD订水</t>
    <phoneticPr fontId="1" type="noConversion"/>
  </si>
  <si>
    <t>教材</t>
    <phoneticPr fontId="1" type="noConversion"/>
  </si>
  <si>
    <t>10+10+3</t>
    <phoneticPr fontId="1" type="noConversion"/>
  </si>
  <si>
    <t>宿舍外出62.37+15</t>
    <phoneticPr fontId="1" type="noConversion"/>
  </si>
  <si>
    <t>中药玄参</t>
    <phoneticPr fontId="1" type="noConversion"/>
  </si>
  <si>
    <t>3+14+14</t>
    <phoneticPr fontId="1" type="noConversion"/>
  </si>
  <si>
    <t>51单片机书英语六级</t>
    <phoneticPr fontId="1" type="noConversion"/>
  </si>
  <si>
    <t>教材退款</t>
    <phoneticPr fontId="1" type="noConversion"/>
  </si>
  <si>
    <t>3+10+31.8</t>
    <phoneticPr fontId="1" type="noConversion"/>
  </si>
  <si>
    <t>工程制图</t>
    <phoneticPr fontId="1" type="noConversion"/>
  </si>
  <si>
    <t>周三饮食31.8合资补退</t>
    <phoneticPr fontId="1" type="noConversion"/>
  </si>
  <si>
    <t>二月</t>
    <phoneticPr fontId="1" type="noConversion"/>
  </si>
  <si>
    <t>三月综合财报</t>
    <phoneticPr fontId="1" type="noConversion"/>
  </si>
  <si>
    <t>FR</t>
  </si>
  <si>
    <t>3.5+10</t>
    <phoneticPr fontId="1" type="noConversion"/>
  </si>
  <si>
    <t>交通</t>
    <phoneticPr fontId="1" type="noConversion"/>
  </si>
  <si>
    <t>电脑维修10+40+330</t>
    <phoneticPr fontId="1" type="noConversion"/>
  </si>
  <si>
    <t>MO</t>
    <phoneticPr fontId="1" type="noConversion"/>
  </si>
  <si>
    <t>3+10+13</t>
    <phoneticPr fontId="1" type="noConversion"/>
  </si>
  <si>
    <t>TU</t>
    <phoneticPr fontId="1" type="noConversion"/>
  </si>
  <si>
    <t>3+10+10</t>
    <phoneticPr fontId="1" type="noConversion"/>
  </si>
  <si>
    <t>DD订水</t>
    <phoneticPr fontId="1" type="noConversion"/>
  </si>
  <si>
    <t>电脑主板退款</t>
    <phoneticPr fontId="1" type="noConversion"/>
  </si>
  <si>
    <t>WE</t>
    <phoneticPr fontId="1" type="noConversion"/>
  </si>
  <si>
    <t>3+14+11</t>
    <phoneticPr fontId="1" type="noConversion"/>
  </si>
  <si>
    <t>welearn</t>
    <phoneticPr fontId="1" type="noConversion"/>
  </si>
  <si>
    <t>TH</t>
    <phoneticPr fontId="1" type="noConversion"/>
  </si>
  <si>
    <t>3+10+12</t>
    <phoneticPr fontId="1" type="noConversion"/>
  </si>
  <si>
    <t>FR</t>
    <phoneticPr fontId="1" type="noConversion"/>
  </si>
  <si>
    <t>3.5+10+12</t>
    <phoneticPr fontId="1" type="noConversion"/>
  </si>
  <si>
    <t>SA</t>
    <phoneticPr fontId="1" type="noConversion"/>
  </si>
  <si>
    <t>SU</t>
    <phoneticPr fontId="1" type="noConversion"/>
  </si>
  <si>
    <t>3+17+12</t>
    <phoneticPr fontId="1" type="noConversion"/>
  </si>
  <si>
    <t>3+12+12.9</t>
    <phoneticPr fontId="1" type="noConversion"/>
  </si>
  <si>
    <t>目前卡内</t>
    <phoneticPr fontId="1" type="noConversion"/>
  </si>
  <si>
    <t>拼多多购物</t>
    <phoneticPr fontId="1" type="noConversion"/>
  </si>
  <si>
    <t>月份</t>
  </si>
  <si>
    <t>金额</t>
  </si>
  <si>
    <t>2023年下半年</t>
    <phoneticPr fontId="1" type="noConversion"/>
  </si>
  <si>
    <t>WE</t>
    <phoneticPr fontId="1" type="noConversion"/>
  </si>
  <si>
    <t>3+10.5+12</t>
    <phoneticPr fontId="1" type="noConversion"/>
  </si>
  <si>
    <t>TH</t>
    <phoneticPr fontId="1" type="noConversion"/>
  </si>
  <si>
    <t>3+10+13</t>
    <phoneticPr fontId="1" type="noConversion"/>
  </si>
  <si>
    <t>FR</t>
    <phoneticPr fontId="1" type="noConversion"/>
  </si>
  <si>
    <t>3.5+11.5+12</t>
    <phoneticPr fontId="1" type="noConversion"/>
  </si>
  <si>
    <t>SA</t>
    <phoneticPr fontId="1" type="noConversion"/>
  </si>
  <si>
    <t>5+34+2.84</t>
    <phoneticPr fontId="1" type="noConversion"/>
  </si>
  <si>
    <t>交通</t>
    <phoneticPr fontId="1" type="noConversion"/>
  </si>
  <si>
    <t>打印</t>
    <phoneticPr fontId="1" type="noConversion"/>
  </si>
  <si>
    <t>SU</t>
    <phoneticPr fontId="1" type="noConversion"/>
  </si>
  <si>
    <t>9+1.90</t>
    <phoneticPr fontId="1" type="noConversion"/>
  </si>
  <si>
    <t>饮料和水</t>
    <phoneticPr fontId="1" type="noConversion"/>
  </si>
  <si>
    <t>MO</t>
    <phoneticPr fontId="1" type="noConversion"/>
  </si>
  <si>
    <t>3+13+14</t>
    <phoneticPr fontId="1" type="noConversion"/>
  </si>
  <si>
    <t>3+10+12</t>
    <phoneticPr fontId="1" type="noConversion"/>
  </si>
  <si>
    <t>中国移动</t>
    <phoneticPr fontId="1" type="noConversion"/>
  </si>
  <si>
    <t>TU</t>
    <phoneticPr fontId="1" type="noConversion"/>
  </si>
  <si>
    <t>WE</t>
    <phoneticPr fontId="1" type="noConversion"/>
  </si>
  <si>
    <t>TH</t>
    <phoneticPr fontId="1" type="noConversion"/>
  </si>
  <si>
    <t>3.5+12+11</t>
    <phoneticPr fontId="1" type="noConversion"/>
  </si>
  <si>
    <t>图纸</t>
    <phoneticPr fontId="1" type="noConversion"/>
  </si>
  <si>
    <t>FR</t>
    <phoneticPr fontId="1" type="noConversion"/>
  </si>
  <si>
    <t>3+11+13</t>
    <phoneticPr fontId="1" type="noConversion"/>
  </si>
  <si>
    <t>3+11+13.5</t>
    <phoneticPr fontId="1" type="noConversion"/>
  </si>
  <si>
    <t>3.5+12+10</t>
    <phoneticPr fontId="1" type="noConversion"/>
  </si>
  <si>
    <t>5+10+9</t>
    <phoneticPr fontId="1" type="noConversion"/>
  </si>
  <si>
    <t>3+10.5+12</t>
    <phoneticPr fontId="1" type="noConversion"/>
  </si>
  <si>
    <t>3.5+12+12</t>
    <phoneticPr fontId="1" type="noConversion"/>
  </si>
  <si>
    <t>原画</t>
    <phoneticPr fontId="1" type="noConversion"/>
  </si>
  <si>
    <t>3.5+12+8.89</t>
    <phoneticPr fontId="1" type="noConversion"/>
  </si>
  <si>
    <t>饮食</t>
    <phoneticPr fontId="1" type="noConversion"/>
  </si>
  <si>
    <t>六级英语</t>
    <phoneticPr fontId="1" type="noConversion"/>
  </si>
  <si>
    <t>2024年四月综合财报</t>
    <phoneticPr fontId="1" type="noConversion"/>
  </si>
  <si>
    <t>目前卡内</t>
    <phoneticPr fontId="1" type="noConversion"/>
  </si>
  <si>
    <t>5+10+10.5</t>
    <phoneticPr fontId="1" type="noConversion"/>
  </si>
  <si>
    <t>话费</t>
    <phoneticPr fontId="1" type="noConversion"/>
  </si>
  <si>
    <t>5+9+12</t>
    <phoneticPr fontId="1" type="noConversion"/>
  </si>
  <si>
    <t>三月</t>
    <phoneticPr fontId="1" type="noConversion"/>
  </si>
  <si>
    <t>3+10.5+13</t>
    <phoneticPr fontId="1" type="noConversion"/>
  </si>
  <si>
    <t>本子</t>
    <phoneticPr fontId="1" type="noConversion"/>
  </si>
  <si>
    <t>实验服</t>
    <phoneticPr fontId="1" type="noConversion"/>
  </si>
  <si>
    <t>3.5+1.8+10+10.5</t>
    <phoneticPr fontId="1" type="noConversion"/>
  </si>
  <si>
    <t>11+10</t>
    <phoneticPr fontId="1" type="noConversion"/>
  </si>
  <si>
    <t>洗浴</t>
    <phoneticPr fontId="1" type="noConversion"/>
  </si>
  <si>
    <t>2.5+13+12</t>
    <phoneticPr fontId="1" type="noConversion"/>
  </si>
  <si>
    <t>3+12.5+13</t>
    <phoneticPr fontId="1" type="noConversion"/>
  </si>
  <si>
    <t>4.5+10+12</t>
    <phoneticPr fontId="1" type="noConversion"/>
  </si>
  <si>
    <t>4+10+12</t>
    <phoneticPr fontId="1" type="noConversion"/>
  </si>
  <si>
    <t>实验手套</t>
    <phoneticPr fontId="1" type="noConversion"/>
  </si>
  <si>
    <t>2.5+13+10</t>
    <phoneticPr fontId="1" type="noConversion"/>
  </si>
  <si>
    <t>4+13+12</t>
    <phoneticPr fontId="1" type="noConversion"/>
  </si>
  <si>
    <t>6+13.5</t>
    <phoneticPr fontId="1" type="noConversion"/>
  </si>
  <si>
    <t>餐馆</t>
    <phoneticPr fontId="1" type="noConversion"/>
  </si>
  <si>
    <t>4+11.5+10</t>
    <phoneticPr fontId="1" type="noConversion"/>
  </si>
  <si>
    <t>4+12+12</t>
    <phoneticPr fontId="1" type="noConversion"/>
  </si>
  <si>
    <t>4.5+13+13</t>
    <phoneticPr fontId="1" type="noConversion"/>
  </si>
  <si>
    <t>4+11+11</t>
    <phoneticPr fontId="1" type="noConversion"/>
  </si>
  <si>
    <t>4+12+10</t>
    <phoneticPr fontId="1" type="noConversion"/>
  </si>
  <si>
    <t>4.5+12+11</t>
    <phoneticPr fontId="1" type="noConversion"/>
  </si>
  <si>
    <t>12+12</t>
    <phoneticPr fontId="1" type="noConversion"/>
  </si>
  <si>
    <t>5+10+13</t>
    <phoneticPr fontId="1" type="noConversion"/>
  </si>
  <si>
    <t>GAME</t>
    <phoneticPr fontId="1" type="noConversion"/>
  </si>
  <si>
    <t>诚学信付</t>
    <phoneticPr fontId="1" type="noConversion"/>
  </si>
  <si>
    <t>骑行卡</t>
    <phoneticPr fontId="1" type="noConversion"/>
  </si>
  <si>
    <t>6+9.5+10</t>
    <phoneticPr fontId="1" type="noConversion"/>
  </si>
  <si>
    <t>5+15+12</t>
    <phoneticPr fontId="1" type="noConversion"/>
  </si>
  <si>
    <t>4+10+11</t>
    <phoneticPr fontId="1" type="noConversion"/>
  </si>
  <si>
    <t>10+6</t>
    <phoneticPr fontId="1" type="noConversion"/>
  </si>
  <si>
    <t>团建</t>
    <phoneticPr fontId="1" type="noConversion"/>
  </si>
  <si>
    <t>4.5+3+9+13</t>
    <phoneticPr fontId="1" type="noConversion"/>
  </si>
  <si>
    <t>3.5+8.5+12+5</t>
    <phoneticPr fontId="1" type="noConversion"/>
  </si>
  <si>
    <t>5+9+8.5</t>
    <phoneticPr fontId="1" type="noConversion"/>
  </si>
  <si>
    <t>3+1.8+10</t>
    <phoneticPr fontId="1" type="noConversion"/>
  </si>
  <si>
    <t>网费四个月三人分摊</t>
    <phoneticPr fontId="1" type="noConversion"/>
  </si>
  <si>
    <t>四月</t>
    <phoneticPr fontId="1" type="noConversion"/>
  </si>
  <si>
    <t>月份</t>
    <phoneticPr fontId="1" type="noConversion"/>
  </si>
  <si>
    <t>2023年五月财报</t>
    <phoneticPr fontId="1" type="noConversion"/>
  </si>
  <si>
    <t>WE</t>
  </si>
  <si>
    <t>3+13+11</t>
    <phoneticPr fontId="1" type="noConversion"/>
  </si>
  <si>
    <t>4.5+9+5+12</t>
    <phoneticPr fontId="1" type="noConversion"/>
  </si>
  <si>
    <t>设备</t>
    <phoneticPr fontId="1" type="noConversion"/>
  </si>
  <si>
    <t>3+13+15</t>
    <phoneticPr fontId="1" type="noConversion"/>
  </si>
  <si>
    <t>3+11</t>
    <phoneticPr fontId="1" type="noConversion"/>
  </si>
  <si>
    <t>刘zehong</t>
    <phoneticPr fontId="1" type="noConversion"/>
  </si>
  <si>
    <t>5+9+10.5</t>
    <phoneticPr fontId="1" type="noConversion"/>
  </si>
  <si>
    <t>2.5+8.5+8.5</t>
    <phoneticPr fontId="1" type="noConversion"/>
  </si>
  <si>
    <t>3.5+1.8+10.5+8</t>
    <phoneticPr fontId="1" type="noConversion"/>
  </si>
  <si>
    <t>3+13+12+50</t>
    <phoneticPr fontId="1" type="noConversion"/>
  </si>
  <si>
    <t>3.5+10+10.5</t>
    <phoneticPr fontId="1" type="noConversion"/>
  </si>
  <si>
    <t>4+14.5</t>
    <phoneticPr fontId="1" type="noConversion"/>
  </si>
  <si>
    <t>4+7.5+10.5</t>
    <phoneticPr fontId="1" type="noConversion"/>
  </si>
  <si>
    <t>3+23.9+11+5</t>
    <phoneticPr fontId="1" type="noConversion"/>
  </si>
  <si>
    <t>6.5+10.5</t>
    <phoneticPr fontId="1" type="noConversion"/>
  </si>
  <si>
    <t>丰巢</t>
    <phoneticPr fontId="1" type="noConversion"/>
  </si>
  <si>
    <t>4+14+11</t>
    <phoneticPr fontId="1" type="noConversion"/>
  </si>
  <si>
    <t>4+11+10.5</t>
    <phoneticPr fontId="1" type="noConversion"/>
  </si>
  <si>
    <t>4+10.5+13</t>
    <phoneticPr fontId="1" type="noConversion"/>
  </si>
  <si>
    <t>3+10.5+12.5</t>
    <phoneticPr fontId="1" type="noConversion"/>
  </si>
  <si>
    <t>壁画</t>
    <phoneticPr fontId="1" type="noConversion"/>
  </si>
  <si>
    <t>1+3.5+11+10+3</t>
    <phoneticPr fontId="1" type="noConversion"/>
  </si>
  <si>
    <t>4+12+11</t>
    <phoneticPr fontId="1" type="noConversion"/>
  </si>
  <si>
    <t>4.5+13</t>
    <phoneticPr fontId="1" type="noConversion"/>
  </si>
  <si>
    <t>4.5+11.7+12</t>
    <phoneticPr fontId="1" type="noConversion"/>
  </si>
  <si>
    <t>4+12+10.5</t>
    <phoneticPr fontId="1" type="noConversion"/>
  </si>
  <si>
    <t>4.5+14+13+12</t>
    <phoneticPr fontId="1" type="noConversion"/>
  </si>
  <si>
    <t>5+13</t>
    <phoneticPr fontId="1" type="noConversion"/>
  </si>
  <si>
    <t>红包</t>
    <phoneticPr fontId="1" type="noConversion"/>
  </si>
  <si>
    <t>2024年6月财报</t>
    <phoneticPr fontId="1" type="noConversion"/>
  </si>
  <si>
    <t>五月</t>
    <phoneticPr fontId="1" type="noConversion"/>
  </si>
  <si>
    <t>SA</t>
  </si>
  <si>
    <t>资料</t>
    <phoneticPr fontId="1" type="noConversion"/>
  </si>
  <si>
    <t>SU</t>
  </si>
  <si>
    <t>美团扣费</t>
    <phoneticPr fontId="1" type="noConversion"/>
  </si>
  <si>
    <t>4+11+10</t>
    <phoneticPr fontId="1" type="noConversion"/>
  </si>
  <si>
    <t>4+11.70+12</t>
    <phoneticPr fontId="1" type="noConversion"/>
  </si>
  <si>
    <t>文具</t>
    <phoneticPr fontId="1" type="noConversion"/>
  </si>
  <si>
    <t>4+14+70</t>
    <phoneticPr fontId="1" type="noConversion"/>
  </si>
  <si>
    <t>15.75+15.75+15.75+30</t>
    <phoneticPr fontId="1" type="noConversion"/>
  </si>
  <si>
    <t>9+5+12</t>
    <phoneticPr fontId="1" type="noConversion"/>
  </si>
  <si>
    <t>8.5+8</t>
    <phoneticPr fontId="1" type="noConversion"/>
  </si>
  <si>
    <t>花费</t>
    <phoneticPr fontId="1" type="noConversion"/>
  </si>
  <si>
    <t>3+13+22.5+10.5</t>
    <phoneticPr fontId="1" type="noConversion"/>
  </si>
  <si>
    <t>4+12+14+0.5</t>
    <phoneticPr fontId="1" type="noConversion"/>
  </si>
  <si>
    <t>3+10+10.5</t>
    <phoneticPr fontId="1" type="noConversion"/>
  </si>
  <si>
    <t>6+15+11</t>
    <phoneticPr fontId="1" type="noConversion"/>
  </si>
  <si>
    <t>13+10.5</t>
    <phoneticPr fontId="1" type="noConversion"/>
  </si>
  <si>
    <t>5+10.5+11</t>
    <phoneticPr fontId="1" type="noConversion"/>
  </si>
  <si>
    <t>热水</t>
    <phoneticPr fontId="1" type="noConversion"/>
  </si>
  <si>
    <t>4+14+12</t>
    <phoneticPr fontId="1" type="noConversion"/>
  </si>
  <si>
    <t>4+10.5</t>
    <phoneticPr fontId="1" type="noConversion"/>
  </si>
  <si>
    <t>画</t>
    <phoneticPr fontId="1" type="noConversion"/>
  </si>
  <si>
    <t>网费收回</t>
    <phoneticPr fontId="1" type="noConversion"/>
  </si>
  <si>
    <t>8+2+4+13+12</t>
    <phoneticPr fontId="1" type="noConversion"/>
  </si>
  <si>
    <t>3+12+13</t>
    <phoneticPr fontId="1" type="noConversion"/>
  </si>
  <si>
    <t>美团哈喽</t>
    <phoneticPr fontId="1" type="noConversion"/>
  </si>
  <si>
    <t>8+9.89+13</t>
    <phoneticPr fontId="1" type="noConversion"/>
  </si>
  <si>
    <t>4+12.5+10</t>
    <phoneticPr fontId="1" type="noConversion"/>
  </si>
  <si>
    <t>饼</t>
    <phoneticPr fontId="1" type="noConversion"/>
  </si>
  <si>
    <t>5+10.5+10</t>
    <phoneticPr fontId="1" type="noConversion"/>
  </si>
  <si>
    <t>4+12+8</t>
    <phoneticPr fontId="1" type="noConversion"/>
  </si>
  <si>
    <t>4+10+14</t>
    <phoneticPr fontId="1" type="noConversion"/>
  </si>
  <si>
    <t>5+10+19</t>
    <phoneticPr fontId="1" type="noConversion"/>
  </si>
  <si>
    <t>4.5+13+12</t>
    <phoneticPr fontId="1" type="noConversion"/>
  </si>
  <si>
    <t>4.5+13+12+4</t>
    <phoneticPr fontId="1" type="noConversion"/>
  </si>
  <si>
    <t>5+11+3+14</t>
    <phoneticPr fontId="1" type="noConversion"/>
  </si>
  <si>
    <t>9.9+7</t>
    <phoneticPr fontId="1" type="noConversion"/>
  </si>
  <si>
    <t>现金填充</t>
    <phoneticPr fontId="1" type="noConversion"/>
  </si>
  <si>
    <t>2024年7月综合财报</t>
    <phoneticPr fontId="1" type="noConversion"/>
  </si>
  <si>
    <t>3+1+10.5</t>
    <phoneticPr fontId="1" type="noConversion"/>
  </si>
  <si>
    <t>电费</t>
    <phoneticPr fontId="1" type="noConversion"/>
  </si>
  <si>
    <t>4.5+13+4</t>
    <phoneticPr fontId="1" type="noConversion"/>
  </si>
  <si>
    <t>4+6+12+7</t>
    <phoneticPr fontId="1" type="noConversion"/>
  </si>
  <si>
    <t>10+16</t>
    <phoneticPr fontId="1" type="noConversion"/>
  </si>
  <si>
    <t>4.5+12+10</t>
    <phoneticPr fontId="1" type="noConversion"/>
  </si>
  <si>
    <t>4.5+13+10</t>
    <phoneticPr fontId="1" type="noConversion"/>
  </si>
  <si>
    <t>13+11</t>
    <phoneticPr fontId="1" type="noConversion"/>
  </si>
  <si>
    <t>4.5+13+11</t>
    <phoneticPr fontId="1" type="noConversion"/>
  </si>
  <si>
    <t>4.5+11+10</t>
    <phoneticPr fontId="1" type="noConversion"/>
  </si>
  <si>
    <t>4.5+10</t>
    <phoneticPr fontId="1" type="noConversion"/>
  </si>
  <si>
    <t>9+12.5</t>
    <phoneticPr fontId="1" type="noConversion"/>
  </si>
  <si>
    <t>广工劳务</t>
    <phoneticPr fontId="1" type="noConversion"/>
  </si>
  <si>
    <t>4.5+10+13</t>
    <phoneticPr fontId="1" type="noConversion"/>
  </si>
  <si>
    <t>4.5+10+10</t>
    <phoneticPr fontId="1" type="noConversion"/>
  </si>
  <si>
    <t>11+16.55</t>
    <phoneticPr fontId="1" type="noConversion"/>
  </si>
  <si>
    <t>摄影</t>
    <phoneticPr fontId="1" type="noConversion"/>
  </si>
  <si>
    <t>4+12+15</t>
    <phoneticPr fontId="1" type="noConversion"/>
  </si>
  <si>
    <t>4.5+8.5+9+9</t>
    <phoneticPr fontId="1" type="noConversion"/>
  </si>
  <si>
    <t>美团单车</t>
    <phoneticPr fontId="1" type="noConversion"/>
  </si>
  <si>
    <t>学费</t>
    <phoneticPr fontId="1" type="noConversion"/>
  </si>
  <si>
    <t>打车</t>
    <phoneticPr fontId="1" type="noConversion"/>
  </si>
  <si>
    <t>(空白)</t>
  </si>
  <si>
    <t>2024年八月财报</t>
    <phoneticPr fontId="1" type="noConversion"/>
  </si>
  <si>
    <t>14+17</t>
    <phoneticPr fontId="1" type="noConversion"/>
  </si>
  <si>
    <t>4.5+12</t>
    <phoneticPr fontId="1" type="noConversion"/>
  </si>
  <si>
    <t>身份证</t>
    <phoneticPr fontId="1" type="noConversion"/>
  </si>
  <si>
    <t>13+12</t>
    <phoneticPr fontId="1" type="noConversion"/>
  </si>
  <si>
    <t>4.5+12+9</t>
    <phoneticPr fontId="1" type="noConversion"/>
  </si>
  <si>
    <t>4.5+8.5+19</t>
    <phoneticPr fontId="1" type="noConversion"/>
  </si>
  <si>
    <t>4.5+8.5+11.5</t>
    <phoneticPr fontId="1" type="noConversion"/>
  </si>
  <si>
    <t>4.5+12+8</t>
    <phoneticPr fontId="1" type="noConversion"/>
  </si>
  <si>
    <t>水管</t>
    <phoneticPr fontId="1" type="noConversion"/>
  </si>
  <si>
    <t>4.5+5+8.5+12</t>
    <phoneticPr fontId="1" type="noConversion"/>
  </si>
  <si>
    <t>5+9.5+10</t>
    <phoneticPr fontId="1" type="noConversion"/>
  </si>
  <si>
    <t>4+0.5+14+10</t>
    <phoneticPr fontId="1" type="noConversion"/>
  </si>
  <si>
    <t>高铁</t>
    <phoneticPr fontId="1" type="noConversion"/>
  </si>
  <si>
    <t>购物</t>
    <phoneticPr fontId="1" type="noConversion"/>
  </si>
  <si>
    <t>8+14.9+4.5</t>
    <phoneticPr fontId="1" type="noConversion"/>
  </si>
  <si>
    <t>3.5+12+13</t>
    <phoneticPr fontId="1" type="noConversion"/>
  </si>
  <si>
    <t>网费120</t>
    <phoneticPr fontId="1" type="noConversion"/>
  </si>
  <si>
    <t>咖啡</t>
    <phoneticPr fontId="1" type="noConversion"/>
  </si>
  <si>
    <t>5+10+10</t>
    <phoneticPr fontId="1" type="noConversion"/>
  </si>
  <si>
    <t>教材卖出</t>
    <phoneticPr fontId="1" type="noConversion"/>
  </si>
  <si>
    <t>医保</t>
    <phoneticPr fontId="1" type="noConversion"/>
  </si>
  <si>
    <t>出借</t>
    <phoneticPr fontId="1" type="noConversion"/>
  </si>
  <si>
    <t>8+14+3</t>
    <phoneticPr fontId="1" type="noConversion"/>
  </si>
  <si>
    <t>教师节礼物</t>
    <phoneticPr fontId="1" type="noConversion"/>
  </si>
  <si>
    <t>11+9+2.5</t>
    <phoneticPr fontId="1" type="noConversion"/>
  </si>
  <si>
    <t>3+11+11</t>
    <phoneticPr fontId="1" type="noConversion"/>
  </si>
  <si>
    <t>7+10+15</t>
    <phoneticPr fontId="1" type="noConversion"/>
  </si>
  <si>
    <t>3.5+14+14</t>
    <phoneticPr fontId="1" type="noConversion"/>
  </si>
  <si>
    <t>29.7+15.9+1.49+9.9</t>
    <phoneticPr fontId="1" type="noConversion"/>
  </si>
  <si>
    <t>结清</t>
    <phoneticPr fontId="1" type="noConversion"/>
  </si>
  <si>
    <t>2024年九月综合财报</t>
    <phoneticPr fontId="1" type="noConversion"/>
  </si>
  <si>
    <t>3+1+9.5+14</t>
    <phoneticPr fontId="1" type="noConversion"/>
  </si>
  <si>
    <t>4.5+14+17</t>
    <phoneticPr fontId="1" type="noConversion"/>
  </si>
  <si>
    <t>4.5+12+14</t>
    <phoneticPr fontId="1" type="noConversion"/>
  </si>
  <si>
    <t>饮水两桶18</t>
    <phoneticPr fontId="1" type="noConversion"/>
  </si>
  <si>
    <t>4+11+9</t>
    <phoneticPr fontId="1" type="noConversion"/>
  </si>
  <si>
    <t>4.5+11+12</t>
    <phoneticPr fontId="1" type="noConversion"/>
  </si>
  <si>
    <t>4.5+10.5+9</t>
    <phoneticPr fontId="1" type="noConversion"/>
  </si>
  <si>
    <t>教师节礼物班级平摊</t>
    <phoneticPr fontId="1" type="noConversion"/>
  </si>
  <si>
    <t>收回借款</t>
    <phoneticPr fontId="1" type="noConversion"/>
  </si>
  <si>
    <t>30+30话费</t>
    <phoneticPr fontId="1" type="noConversion"/>
  </si>
  <si>
    <t>麻将</t>
    <phoneticPr fontId="1" type="noConversion"/>
  </si>
  <si>
    <t>15+6</t>
    <phoneticPr fontId="1" type="noConversion"/>
  </si>
  <si>
    <t>4+11+14</t>
    <phoneticPr fontId="1" type="noConversion"/>
  </si>
  <si>
    <t>4.5+13+15</t>
    <phoneticPr fontId="1" type="noConversion"/>
  </si>
  <si>
    <t>15+10</t>
    <phoneticPr fontId="1" type="noConversion"/>
  </si>
  <si>
    <t>教师节礼物团学平摊</t>
    <phoneticPr fontId="1" type="noConversion"/>
  </si>
  <si>
    <t>DD订水9</t>
    <phoneticPr fontId="1" type="noConversion"/>
  </si>
  <si>
    <t>3.5+1.8+11+13+5</t>
  </si>
  <si>
    <t>6+10+10</t>
    <phoneticPr fontId="1" type="noConversion"/>
  </si>
  <si>
    <t>破冰活动</t>
    <phoneticPr fontId="1" type="noConversion"/>
  </si>
  <si>
    <t>5+9+2</t>
    <phoneticPr fontId="1" type="noConversion"/>
  </si>
  <si>
    <t>5+9</t>
    <phoneticPr fontId="1" type="noConversion"/>
  </si>
  <si>
    <t>社团费用</t>
    <phoneticPr fontId="1" type="noConversion"/>
  </si>
  <si>
    <t>社团费用平摊</t>
    <phoneticPr fontId="1" type="noConversion"/>
  </si>
  <si>
    <t>4+13+10</t>
    <phoneticPr fontId="1" type="noConversion"/>
  </si>
  <si>
    <t>手机</t>
    <phoneticPr fontId="1" type="noConversion"/>
  </si>
  <si>
    <t>9+13+3.5</t>
    <phoneticPr fontId="1" type="noConversion"/>
  </si>
  <si>
    <t>4.5+11+13</t>
    <phoneticPr fontId="1" type="noConversion"/>
  </si>
  <si>
    <t>DD订水18</t>
    <phoneticPr fontId="1" type="noConversion"/>
  </si>
  <si>
    <t>社团送清凉</t>
    <phoneticPr fontId="1" type="noConversion"/>
  </si>
  <si>
    <t>11+10+5</t>
    <phoneticPr fontId="1" type="noConversion"/>
  </si>
  <si>
    <t>9+14</t>
    <phoneticPr fontId="1" type="noConversion"/>
  </si>
  <si>
    <t>5+12+13</t>
    <phoneticPr fontId="1" type="noConversion"/>
  </si>
  <si>
    <t>5.5+10+10</t>
    <phoneticPr fontId="1" type="noConversion"/>
  </si>
  <si>
    <t>4+14+10</t>
    <phoneticPr fontId="1" type="noConversion"/>
  </si>
  <si>
    <t>4+14</t>
    <phoneticPr fontId="1" type="noConversion"/>
  </si>
  <si>
    <t>38.3-17</t>
    <phoneticPr fontId="1" type="noConversion"/>
  </si>
  <si>
    <t>14+6</t>
    <phoneticPr fontId="1" type="noConversion"/>
  </si>
  <si>
    <t>2.5+11+12</t>
    <phoneticPr fontId="1" type="noConversion"/>
  </si>
  <si>
    <t>13+14</t>
    <phoneticPr fontId="1" type="noConversion"/>
  </si>
  <si>
    <t>15+11+4.5</t>
    <phoneticPr fontId="1" type="noConversion"/>
  </si>
  <si>
    <t>4.5+14+11</t>
    <phoneticPr fontId="1" type="noConversion"/>
  </si>
  <si>
    <t>请客蔡永琦</t>
    <phoneticPr fontId="1" type="noConversion"/>
  </si>
  <si>
    <t>7+15+12</t>
    <phoneticPr fontId="1" type="noConversion"/>
  </si>
  <si>
    <t>4.5+16+13</t>
    <phoneticPr fontId="1" type="noConversion"/>
  </si>
  <si>
    <t>4.5+12+13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</si>
</sst>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[$¥-804]* #,##0.00_ ;_ [$¥-804]* \-#,##0.00_ ;_ [$¥-804]* &quot;-&quot;??_ ;_ @_ "/>
    <numFmt numFmtId="177" formatCode="[$-F800]dddd\,\ mmmm\ dd\,\ yyyy"/>
    <numFmt numFmtId="178" formatCode="&quot;¥&quot;#,##0.00_);[Red]\(&quot;¥&quot;#,##0.00\)"/>
    <numFmt numFmtId="179" formatCode="yyyy&quot;年&quot;m&quot;月&quot;d&quot;日&quot;;@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26"/>
      <color theme="1"/>
      <name val="等线"/>
      <family val="2"/>
      <scheme val="minor"/>
    </font>
    <font>
      <u/>
      <sz val="22"/>
      <color theme="10"/>
      <name val="等线"/>
      <family val="3"/>
      <charset val="134"/>
      <scheme val="minor"/>
    </font>
    <font>
      <sz val="18"/>
      <color theme="1"/>
      <name val="方正姚体"/>
      <family val="3"/>
      <charset val="134"/>
    </font>
    <font>
      <sz val="36"/>
      <color theme="1"/>
      <name val="等线"/>
      <family val="2"/>
      <scheme val="minor"/>
    </font>
    <font>
      <u/>
      <sz val="22"/>
      <color theme="10"/>
      <name val="等线"/>
      <family val="2"/>
      <scheme val="minor"/>
    </font>
    <font>
      <u/>
      <sz val="24"/>
      <color theme="10"/>
      <name val="等线"/>
      <family val="2"/>
      <scheme val="minor"/>
    </font>
    <font>
      <u/>
      <sz val="24"/>
      <color theme="1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4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76" fontId="0" fillId="0" borderId="10" xfId="0" applyNumberForma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176" fontId="0" fillId="0" borderId="12" xfId="0" applyNumberFormat="1" applyBorder="1" applyAlignment="1" applyProtection="1">
      <alignment horizontal="center" vertical="center"/>
      <protection locked="0"/>
    </xf>
    <xf numFmtId="176" fontId="0" fillId="0" borderId="11" xfId="0" applyNumberFormat="1" applyBorder="1" applyAlignment="1" applyProtection="1">
      <alignment horizontal="center" vertical="center"/>
      <protection locked="0"/>
    </xf>
    <xf numFmtId="176" fontId="0" fillId="0" borderId="11" xfId="0" applyNumberFormat="1" applyBorder="1" applyProtection="1">
      <protection locked="0"/>
    </xf>
    <xf numFmtId="14" fontId="0" fillId="0" borderId="13" xfId="0" applyNumberFormat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176" fontId="0" fillId="0" borderId="14" xfId="0" applyNumberFormat="1" applyBorder="1" applyAlignment="1" applyProtection="1">
      <alignment horizontal="center" vertical="center"/>
      <protection locked="0"/>
    </xf>
    <xf numFmtId="176" fontId="0" fillId="0" borderId="15" xfId="0" applyNumberFormat="1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6" fontId="0" fillId="0" borderId="0" xfId="0" applyNumberFormat="1" applyAlignment="1" applyProtection="1">
      <alignment horizontal="center" vertical="center"/>
      <protection locked="0"/>
    </xf>
    <xf numFmtId="14" fontId="0" fillId="0" borderId="17" xfId="0" applyNumberForma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176" fontId="0" fillId="0" borderId="17" xfId="0" applyNumberFormat="1" applyBorder="1" applyAlignment="1" applyProtection="1">
      <alignment horizontal="center" vertical="center"/>
      <protection locked="0"/>
    </xf>
    <xf numFmtId="0" fontId="2" fillId="0" borderId="1" xfId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Continuous"/>
    </xf>
    <xf numFmtId="0" fontId="0" fillId="3" borderId="1" xfId="0" applyFill="1" applyBorder="1" applyAlignment="1">
      <alignment horizontal="centerContinuous"/>
    </xf>
    <xf numFmtId="177" fontId="0" fillId="0" borderId="1" xfId="0" applyNumberFormat="1" applyBorder="1" applyAlignment="1" applyProtection="1">
      <alignment horizontal="center" vertical="center"/>
      <protection locked="0"/>
    </xf>
    <xf numFmtId="177" fontId="0" fillId="0" borderId="0" xfId="0" applyNumberFormat="1"/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 applyProtection="1">
      <alignment horizontal="center" vertical="center"/>
      <protection locked="0"/>
    </xf>
    <xf numFmtId="178" fontId="0" fillId="0" borderId="0" xfId="0" applyNumberFormat="1"/>
    <xf numFmtId="0" fontId="0" fillId="0" borderId="1" xfId="0" applyBorder="1"/>
    <xf numFmtId="179" fontId="0" fillId="0" borderId="1" xfId="0" applyNumberFormat="1" applyBorder="1" applyAlignment="1" applyProtection="1">
      <alignment horizontal="center" vertical="center"/>
      <protection locked="0"/>
    </xf>
    <xf numFmtId="179" fontId="0" fillId="0" borderId="0" xfId="0" applyNumberFormat="1"/>
    <xf numFmtId="0" fontId="0" fillId="2" borderId="1" xfId="0" applyFill="1" applyBorder="1" applyAlignment="1" applyProtection="1">
      <alignment horizontal="center" vertical="center"/>
      <protection locked="0"/>
    </xf>
    <xf numFmtId="178" fontId="0" fillId="2" borderId="1" xfId="0" applyNumberFormat="1" applyFill="1" applyBorder="1" applyAlignment="1" applyProtection="1">
      <alignment horizontal="center" vertical="center"/>
      <protection locked="0"/>
    </xf>
    <xf numFmtId="0" fontId="2" fillId="0" borderId="17" xfId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/>
    <xf numFmtId="0" fontId="6" fillId="0" borderId="0" xfId="0" applyFont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/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27" xfId="0" applyBorder="1"/>
    <xf numFmtId="0" fontId="2" fillId="0" borderId="28" xfId="1" applyBorder="1" applyAlignment="1">
      <alignment horizontal="centerContinuous"/>
    </xf>
    <xf numFmtId="0" fontId="0" fillId="0" borderId="28" xfId="0" pivotButton="1" applyBorder="1"/>
    <xf numFmtId="0" fontId="0" fillId="0" borderId="28" xfId="0" applyBorder="1" applyAlignment="1">
      <alignment horizontal="left"/>
    </xf>
    <xf numFmtId="0" fontId="0" fillId="0" borderId="26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33" xfId="0" applyBorder="1"/>
    <xf numFmtId="0" fontId="0" fillId="4" borderId="1" xfId="0" applyFill="1" applyBorder="1" applyAlignment="1" applyProtection="1">
      <alignment horizontal="center" vertical="center"/>
      <protection locked="0"/>
    </xf>
    <xf numFmtId="178" fontId="0" fillId="4" borderId="1" xfId="0" applyNumberFormat="1" applyFill="1" applyBorder="1" applyAlignment="1" applyProtection="1">
      <alignment horizontal="center" vertical="center"/>
      <protection locked="0"/>
    </xf>
    <xf numFmtId="58" fontId="0" fillId="0" borderId="0" xfId="0" applyNumberFormat="1"/>
    <xf numFmtId="0" fontId="0" fillId="0" borderId="34" xfId="0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178" fontId="0" fillId="4" borderId="0" xfId="0" applyNumberFormat="1" applyFill="1"/>
    <xf numFmtId="0" fontId="0" fillId="4" borderId="0" xfId="0" applyFill="1"/>
    <xf numFmtId="0" fontId="2" fillId="2" borderId="1" xfId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7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2" fillId="2" borderId="14" xfId="1" applyFill="1" applyBorder="1" applyAlignment="1" applyProtection="1">
      <alignment horizontal="center" vertical="center"/>
      <protection locked="0"/>
    </xf>
    <xf numFmtId="0" fontId="2" fillId="2" borderId="16" xfId="1" applyFill="1" applyBorder="1" applyAlignment="1" applyProtection="1">
      <alignment horizontal="center" vertical="center"/>
      <protection locked="0"/>
    </xf>
    <xf numFmtId="0" fontId="2" fillId="2" borderId="20" xfId="1" applyFill="1" applyBorder="1" applyAlignment="1" applyProtection="1">
      <alignment horizontal="center" vertical="center"/>
      <protection locked="0"/>
    </xf>
    <xf numFmtId="0" fontId="2" fillId="2" borderId="21" xfId="1" applyFill="1" applyBorder="1" applyAlignment="1" applyProtection="1">
      <alignment horizontal="center" vertical="center"/>
      <protection locked="0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4" xfId="1" applyFill="1" applyBorder="1" applyAlignment="1">
      <alignment horizontal="center" vertical="center"/>
    </xf>
    <xf numFmtId="0" fontId="2" fillId="0" borderId="17" xfId="1" applyFill="1" applyBorder="1" applyAlignment="1">
      <alignment horizontal="center" vertical="center"/>
    </xf>
    <xf numFmtId="0" fontId="2" fillId="0" borderId="16" xfId="1" applyFill="1" applyBorder="1" applyAlignment="1">
      <alignment horizontal="center" vertical="center"/>
    </xf>
    <xf numFmtId="0" fontId="2" fillId="0" borderId="20" xfId="1" applyFill="1" applyBorder="1" applyAlignment="1">
      <alignment horizontal="center" vertical="center"/>
    </xf>
    <xf numFmtId="0" fontId="2" fillId="0" borderId="32" xfId="1" applyFill="1" applyBorder="1" applyAlignment="1">
      <alignment horizontal="center" vertical="center"/>
    </xf>
    <xf numFmtId="0" fontId="2" fillId="0" borderId="21" xfId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1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12" xfId="1" applyBorder="1" applyAlignment="1">
      <alignment horizontal="center"/>
    </xf>
  </cellXfs>
  <cellStyles count="2">
    <cellStyle name="常规" xfId="0" builtinId="0"/>
    <cellStyle name="超链接" xfId="1" builtinId="8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Continuous"/>
    </dxf>
    <dxf>
      <alignment horizontal="centerContinuous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[2024年综合财报统计处.xlsx]Sheet48最后数!数据透视表1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一月汇总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Sheet48最后数!$Y$36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E0-4303-8200-E98AD96AAB1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E0-4303-8200-E98AD96AAB10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E0-4303-8200-E98AD96AAB10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EE0-4303-8200-E98AD96AAB10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EE0-4303-8200-E98AD96AAB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Sheet48最后数!$X$37:$X$42</c:f>
              <c:strCache>
                <c:ptCount val="5"/>
                <c:pt idx="0">
                  <c:v>生活</c:v>
                </c:pt>
                <c:pt idx="1">
                  <c:v>特别立项</c:v>
                </c:pt>
                <c:pt idx="2">
                  <c:v>外务</c:v>
                </c:pt>
                <c:pt idx="3">
                  <c:v>学习</c:v>
                </c:pt>
                <c:pt idx="4">
                  <c:v>饮食</c:v>
                </c:pt>
              </c:strCache>
            </c:strRef>
          </c:cat>
          <c:val>
            <c:numRef>
              <c:f>Sheet48最后数!$Y$37:$Y$42</c:f>
              <c:numCache>
                <c:formatCode>General</c:formatCode>
                <c:ptCount val="5"/>
                <c:pt idx="0">
                  <c:v>56.68</c:v>
                </c:pt>
                <c:pt idx="1">
                  <c:v>372.07</c:v>
                </c:pt>
                <c:pt idx="2">
                  <c:v>6.1399999999999988</c:v>
                </c:pt>
                <c:pt idx="3">
                  <c:v>160.58000000000001</c:v>
                </c:pt>
                <c:pt idx="4">
                  <c:v>297.5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6-4DE9-B64A-3782DA2E674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[2024年综合财报统计处.xlsx]Sheet48最后数!数据透视表2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二月汇总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Sheet48最后数!$AD$36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B0-4F6E-ADFC-451FE51DAD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B0-4F6E-ADFC-451FE51DAD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B0-4F6E-ADFC-451FE51DAD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B0-4F6E-ADFC-451FE51DAD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B0-4F6E-ADFC-451FE51DAD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Sheet48最后数!$AC$37:$AC$42</c:f>
              <c:strCache>
                <c:ptCount val="5"/>
                <c:pt idx="0">
                  <c:v>生活</c:v>
                </c:pt>
                <c:pt idx="1">
                  <c:v>特别立项</c:v>
                </c:pt>
                <c:pt idx="2">
                  <c:v>外务</c:v>
                </c:pt>
                <c:pt idx="3">
                  <c:v>学习</c:v>
                </c:pt>
                <c:pt idx="4">
                  <c:v>饮食</c:v>
                </c:pt>
              </c:strCache>
            </c:strRef>
          </c:cat>
          <c:val>
            <c:numRef>
              <c:f>Sheet48最后数!$AD$37:$AD$42</c:f>
              <c:numCache>
                <c:formatCode>General</c:formatCode>
                <c:ptCount val="5"/>
                <c:pt idx="0">
                  <c:v>900.78</c:v>
                </c:pt>
                <c:pt idx="1">
                  <c:v>372.07</c:v>
                </c:pt>
                <c:pt idx="2">
                  <c:v>41</c:v>
                </c:pt>
                <c:pt idx="3">
                  <c:v>73.36</c:v>
                </c:pt>
                <c:pt idx="4">
                  <c:v>197.8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B0-4F6E-ADFC-451FE51DADE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2023</a:t>
            </a:r>
            <a:r>
              <a:rPr lang="zh-CN" altLang="en-US"/>
              <a:t>年下半年月经济报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[1]支出!$K$6</c:f>
              <c:strCache>
                <c:ptCount val="1"/>
                <c:pt idx="0">
                  <c:v>金额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[1]支出!$J$7:$J$10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numCache>
            </c:numRef>
          </c:cat>
          <c:val>
            <c:numRef>
              <c:f>[1]支出!$K$7:$K$10</c:f>
              <c:numCache>
                <c:formatCode>General</c:formatCode>
                <c:ptCount val="4"/>
                <c:pt idx="0">
                  <c:v>2798.73</c:v>
                </c:pt>
                <c:pt idx="1">
                  <c:v>1771.24</c:v>
                </c:pt>
                <c:pt idx="2">
                  <c:v>1532.4399999999998</c:v>
                </c:pt>
                <c:pt idx="3">
                  <c:v>1753.07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6-4013-9C80-D4E8C59A22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64877519"/>
        <c:axId val="1864877039"/>
      </c:lineChart>
      <c:catAx>
        <c:axId val="186487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4877039"/>
        <c:crosses val="autoZero"/>
        <c:auto val="1"/>
        <c:lblAlgn val="ctr"/>
        <c:lblOffset val="100"/>
        <c:noMultiLvlLbl val="0"/>
      </c:catAx>
      <c:valAx>
        <c:axId val="186487703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6487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[2024年综合财报统计处.xlsx]Sheet48最后数!数据透视表4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四月汇总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Sheet48最后数!$AJ$36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871-4676-BA60-A54435FDB5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71-4676-BA60-A54435FDB5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4871-4676-BA60-A54435FDB5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71-4676-BA60-A54435FDB5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Sheet48最后数!$AI$37:$AI$41</c:f>
              <c:strCache>
                <c:ptCount val="4"/>
                <c:pt idx="0">
                  <c:v>生活</c:v>
                </c:pt>
                <c:pt idx="1">
                  <c:v>特别立项</c:v>
                </c:pt>
                <c:pt idx="2">
                  <c:v>学习</c:v>
                </c:pt>
                <c:pt idx="3">
                  <c:v>饮食</c:v>
                </c:pt>
              </c:strCache>
            </c:strRef>
          </c:cat>
          <c:val>
            <c:numRef>
              <c:f>Sheet48最后数!$AJ$37:$AJ$41</c:f>
              <c:numCache>
                <c:formatCode>General</c:formatCode>
                <c:ptCount val="4"/>
                <c:pt idx="0">
                  <c:v>288.08</c:v>
                </c:pt>
                <c:pt idx="1">
                  <c:v>372.07</c:v>
                </c:pt>
                <c:pt idx="2">
                  <c:v>53.68</c:v>
                </c:pt>
                <c:pt idx="3">
                  <c:v>698.59999999999991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1-4676-BA60-A54435FDB58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[2024年综合财报统计处.xlsx]Sheet48最后数!数据透视表3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三月汇总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Sheet48最后数!$AG$36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DF-4D41-9664-C63FB31362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DF-4D41-9664-C63FB31362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BDF-4D41-9664-C63FB31362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BDF-4D41-9664-C63FB31362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BDF-4D41-9664-C63FB31362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Sheet48最后数!$AF$37:$AF$42</c:f>
              <c:strCache>
                <c:ptCount val="5"/>
                <c:pt idx="0">
                  <c:v>生活</c:v>
                </c:pt>
                <c:pt idx="1">
                  <c:v>特别立项</c:v>
                </c:pt>
                <c:pt idx="2">
                  <c:v>外务</c:v>
                </c:pt>
                <c:pt idx="3">
                  <c:v>学习</c:v>
                </c:pt>
                <c:pt idx="4">
                  <c:v>饮食</c:v>
                </c:pt>
              </c:strCache>
            </c:strRef>
          </c:cat>
          <c:val>
            <c:numRef>
              <c:f>Sheet48最后数!$AG$37:$AG$42</c:f>
              <c:numCache>
                <c:formatCode>General</c:formatCode>
                <c:ptCount val="5"/>
                <c:pt idx="0">
                  <c:v>574.52</c:v>
                </c:pt>
                <c:pt idx="1">
                  <c:v>372.07</c:v>
                </c:pt>
                <c:pt idx="2">
                  <c:v>13.85</c:v>
                </c:pt>
                <c:pt idx="3">
                  <c:v>86.6</c:v>
                </c:pt>
                <c:pt idx="4">
                  <c:v>734.42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3-4D71-AD9C-B644D82BC3E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2024</a:t>
            </a:r>
            <a:r>
              <a:rPr lang="zh-CN" altLang="en-US"/>
              <a:t>年上半年经济报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Sheet48最后数!$BG$36</c:f>
              <c:strCache>
                <c:ptCount val="1"/>
                <c:pt idx="0">
                  <c:v>月份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Sheet48最后数!$BG$37:$BG$43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C-4D05-BDFF-3A7A26F2EFC6}"/>
            </c:ext>
          </c:extLst>
        </c:ser>
        <c:ser>
          <c:idx val="1"/>
          <c:order val="1"/>
          <c:tx>
            <c:strRef>
              <c:f>Sheet48最后数!$BH$36</c:f>
              <c:strCache>
                <c:ptCount val="1"/>
                <c:pt idx="0">
                  <c:v>金额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Sheet48最后数!$BH$37:$BH$43</c:f>
              <c:numCache>
                <c:formatCode>General</c:formatCode>
                <c:ptCount val="7"/>
                <c:pt idx="0">
                  <c:v>892.97</c:v>
                </c:pt>
                <c:pt idx="1">
                  <c:v>1585.01</c:v>
                </c:pt>
                <c:pt idx="2">
                  <c:v>1781.46</c:v>
                </c:pt>
                <c:pt idx="3">
                  <c:v>1412.43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C-4D05-BDFF-3A7A26F2EF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8375920"/>
        <c:axId val="1398378800"/>
      </c:lineChart>
      <c:catAx>
        <c:axId val="1398375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8378800"/>
        <c:crosses val="autoZero"/>
        <c:auto val="1"/>
        <c:lblAlgn val="ctr"/>
        <c:lblOffset val="100"/>
        <c:noMultiLvlLbl val="0"/>
      </c:catAx>
      <c:valAx>
        <c:axId val="13983788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837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[2024年综合财报统计处.xlsx]Sheet48最后数!数据透视表5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五月汇总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Sheet48最后数!$AM$36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664-4AFF-8B07-4E5D0058F1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664-4AFF-8B07-4E5D0058F1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664-4AFF-8B07-4E5D0058F1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664-4AFF-8B07-4E5D0058F1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Sheet48最后数!$AL$37:$AL$41</c:f>
              <c:strCache>
                <c:ptCount val="4"/>
                <c:pt idx="0">
                  <c:v>生活</c:v>
                </c:pt>
                <c:pt idx="1">
                  <c:v>特别立项</c:v>
                </c:pt>
                <c:pt idx="2">
                  <c:v>学习</c:v>
                </c:pt>
                <c:pt idx="3">
                  <c:v>饮食</c:v>
                </c:pt>
              </c:strCache>
            </c:strRef>
          </c:cat>
          <c:val>
            <c:numRef>
              <c:f>Sheet48最后数!$AM$37:$AM$41</c:f>
              <c:numCache>
                <c:formatCode>General</c:formatCode>
                <c:ptCount val="4"/>
                <c:pt idx="0">
                  <c:v>118.39</c:v>
                </c:pt>
                <c:pt idx="1">
                  <c:v>372.07</c:v>
                </c:pt>
                <c:pt idx="2">
                  <c:v>89.600000000000009</c:v>
                </c:pt>
                <c:pt idx="3">
                  <c:v>653.9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3-4B61-9ED1-A9F144E0F7E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[2024年综合财报统计处.xlsx]Sheet48最后数!数据透视表7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六月汇总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Sheet48最后数!$Z$61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BB-410E-953F-1EBC5A0A9A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BB-410E-953F-1EBC5A0A9A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BB-410E-953F-1EBC5A0A9A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DBB-410E-953F-1EBC5A0A9A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Sheet48最后数!$Y$62:$Y$66</c:f>
              <c:strCache>
                <c:ptCount val="4"/>
                <c:pt idx="0">
                  <c:v>生活</c:v>
                </c:pt>
                <c:pt idx="1">
                  <c:v>特别立项</c:v>
                </c:pt>
                <c:pt idx="2">
                  <c:v>学习</c:v>
                </c:pt>
                <c:pt idx="3">
                  <c:v>饮食</c:v>
                </c:pt>
              </c:strCache>
            </c:strRef>
          </c:cat>
          <c:val>
            <c:numRef>
              <c:f>Sheet48最后数!$Z$62:$Z$66</c:f>
              <c:numCache>
                <c:formatCode>General</c:formatCode>
                <c:ptCount val="4"/>
                <c:pt idx="0">
                  <c:v>133.29000000000002</c:v>
                </c:pt>
                <c:pt idx="1">
                  <c:v>372.07</c:v>
                </c:pt>
                <c:pt idx="2">
                  <c:v>9.9</c:v>
                </c:pt>
                <c:pt idx="3">
                  <c:v>749.59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3-4CE3-8477-3ABDAD3EE1E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[2024年综合财报统计处.xlsx]Sheet48最后数!数据透视表9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七月汇总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Sheet48最后数!$AD$61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86-4D90-9EDA-948F3B1E2D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86-4D90-9EDA-948F3B1E2D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86-4D90-9EDA-948F3B1E2D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86-4D90-9EDA-948F3B1E2D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186-4D90-9EDA-948F3B1E2D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Sheet48最后数!$AC$62:$AC$67</c:f>
              <c:strCache>
                <c:ptCount val="5"/>
                <c:pt idx="0">
                  <c:v>生活</c:v>
                </c:pt>
                <c:pt idx="1">
                  <c:v>特别立项</c:v>
                </c:pt>
                <c:pt idx="2">
                  <c:v>学习</c:v>
                </c:pt>
                <c:pt idx="3">
                  <c:v>饮食</c:v>
                </c:pt>
                <c:pt idx="4">
                  <c:v>(空白)</c:v>
                </c:pt>
              </c:strCache>
            </c:strRef>
          </c:cat>
          <c:val>
            <c:numRef>
              <c:f>Sheet48最后数!$AD$62:$AD$67</c:f>
              <c:numCache>
                <c:formatCode>General</c:formatCode>
                <c:ptCount val="5"/>
                <c:pt idx="0">
                  <c:v>370.40999999999997</c:v>
                </c:pt>
                <c:pt idx="1">
                  <c:v>372.07</c:v>
                </c:pt>
                <c:pt idx="2">
                  <c:v>8569.7999999999993</c:v>
                </c:pt>
                <c:pt idx="3">
                  <c:v>563.67999999999995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1-435D-BA2A-B6EA54F88E6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[2024年综合财报统计处.xlsx]Sheet48最后数!数据透视表13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八月汇总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Sheet48最后数!$AH$60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95-4C36-873C-367F92232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95-4C36-873C-367F92232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95-4C36-873C-367F92232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395-4C36-873C-367F92232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395-4C36-873C-367F92232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395-4C36-873C-367F922320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Sheet48最后数!$AG$61:$AG$67</c:f>
              <c:strCache>
                <c:ptCount val="6"/>
                <c:pt idx="0">
                  <c:v>生活</c:v>
                </c:pt>
                <c:pt idx="1">
                  <c:v>特别立项</c:v>
                </c:pt>
                <c:pt idx="2">
                  <c:v>外务</c:v>
                </c:pt>
                <c:pt idx="3">
                  <c:v>学习</c:v>
                </c:pt>
                <c:pt idx="4">
                  <c:v>饮食</c:v>
                </c:pt>
                <c:pt idx="5">
                  <c:v>(空白)</c:v>
                </c:pt>
              </c:strCache>
            </c:strRef>
          </c:cat>
          <c:val>
            <c:numRef>
              <c:f>Sheet48最后数!$AH$61:$AH$67</c:f>
              <c:numCache>
                <c:formatCode>General</c:formatCode>
                <c:ptCount val="6"/>
                <c:pt idx="0">
                  <c:v>1413.6999999999998</c:v>
                </c:pt>
                <c:pt idx="1">
                  <c:v>1116.1600000000001</c:v>
                </c:pt>
                <c:pt idx="2">
                  <c:v>263</c:v>
                </c:pt>
                <c:pt idx="3">
                  <c:v>92.76</c:v>
                </c:pt>
                <c:pt idx="4">
                  <c:v>567.26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3-4CA4-ABC1-32BA7936C0F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00609814124284"/>
          <c:y val="0.31499764804808805"/>
          <c:w val="0.24721044220548166"/>
          <c:h val="0.57595087542564083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heet47!A1"/><Relationship Id="rId13" Type="http://schemas.openxmlformats.org/officeDocument/2006/relationships/hyperlink" Target="#Sheet42!A1"/><Relationship Id="rId3" Type="http://schemas.openxmlformats.org/officeDocument/2006/relationships/hyperlink" Target="#Sheet37!A1"/><Relationship Id="rId7" Type="http://schemas.openxmlformats.org/officeDocument/2006/relationships/hyperlink" Target="#Sheet45!A1"/><Relationship Id="rId12" Type="http://schemas.openxmlformats.org/officeDocument/2006/relationships/hyperlink" Target="#Sheet40!A1"/><Relationship Id="rId2" Type="http://schemas.openxmlformats.org/officeDocument/2006/relationships/hyperlink" Target="#Sheet35!A1"/><Relationship Id="rId1" Type="http://schemas.openxmlformats.org/officeDocument/2006/relationships/image" Target="../media/image1.png"/><Relationship Id="rId6" Type="http://schemas.openxmlformats.org/officeDocument/2006/relationships/hyperlink" Target="#Sheet43!A1"/><Relationship Id="rId11" Type="http://schemas.openxmlformats.org/officeDocument/2006/relationships/hyperlink" Target="#Sheet38!A1"/><Relationship Id="rId5" Type="http://schemas.openxmlformats.org/officeDocument/2006/relationships/hyperlink" Target="#Sheet41!A1"/><Relationship Id="rId15" Type="http://schemas.openxmlformats.org/officeDocument/2006/relationships/hyperlink" Target="#Sheet46!A1"/><Relationship Id="rId10" Type="http://schemas.openxmlformats.org/officeDocument/2006/relationships/hyperlink" Target="#Sheet48&#26368;&#21518;&#25968;!A1"/><Relationship Id="rId4" Type="http://schemas.openxmlformats.org/officeDocument/2006/relationships/hyperlink" Target="#Sheet39!A1"/><Relationship Id="rId9" Type="http://schemas.openxmlformats.org/officeDocument/2006/relationships/hyperlink" Target="#Sheet36!A1"/><Relationship Id="rId14" Type="http://schemas.openxmlformats.org/officeDocument/2006/relationships/hyperlink" Target="#Sheet44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348029</xdr:colOff>
      <xdr:row>6</xdr:row>
      <xdr:rowOff>104755</xdr:rowOff>
    </xdr:from>
    <xdr:to>
      <xdr:col>37</xdr:col>
      <xdr:colOff>320550</xdr:colOff>
      <xdr:row>46</xdr:row>
      <xdr:rowOff>78423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F9910CB-DA50-298F-53A8-4953DADDD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2789" y="1167159"/>
          <a:ext cx="12327546" cy="6934245"/>
        </a:xfrm>
        <a:prstGeom prst="rect">
          <a:avLst/>
        </a:prstGeom>
      </xdr:spPr>
    </xdr:pic>
    <xdr:clientData/>
  </xdr:twoCellAnchor>
  <xdr:twoCellAnchor>
    <xdr:from>
      <xdr:col>17</xdr:col>
      <xdr:colOff>144421</xdr:colOff>
      <xdr:row>63</xdr:row>
      <xdr:rowOff>136788</xdr:rowOff>
    </xdr:from>
    <xdr:to>
      <xdr:col>37</xdr:col>
      <xdr:colOff>320959</xdr:colOff>
      <xdr:row>109</xdr:row>
      <xdr:rowOff>151598</xdr:rowOff>
    </xdr:to>
    <xdr:grpSp>
      <xdr:nvGrpSpPr>
        <xdr:cNvPr id="78" name="组合 77">
          <a:extLst>
            <a:ext uri="{FF2B5EF4-FFF2-40B4-BE49-F238E27FC236}">
              <a16:creationId xmlns:a16="http://schemas.microsoft.com/office/drawing/2014/main" id="{6027C32B-542B-A45B-1785-BC5203DDE4B4}"/>
            </a:ext>
          </a:extLst>
        </xdr:cNvPr>
        <xdr:cNvGrpSpPr/>
      </xdr:nvGrpSpPr>
      <xdr:grpSpPr>
        <a:xfrm>
          <a:off x="11198917" y="11136332"/>
          <a:ext cx="13181827" cy="8019474"/>
          <a:chOff x="1220120" y="322621"/>
          <a:chExt cx="13076355" cy="8141785"/>
        </a:xfrm>
      </xdr:grpSpPr>
      <xdr:grpSp>
        <xdr:nvGrpSpPr>
          <xdr:cNvPr id="60" name="组合 59">
            <a:extLst>
              <a:ext uri="{FF2B5EF4-FFF2-40B4-BE49-F238E27FC236}">
                <a16:creationId xmlns:a16="http://schemas.microsoft.com/office/drawing/2014/main" id="{8E219AE1-D887-3D17-5A45-150C51397CC6}"/>
              </a:ext>
            </a:extLst>
          </xdr:cNvPr>
          <xdr:cNvGrpSpPr/>
        </xdr:nvGrpSpPr>
        <xdr:grpSpPr>
          <a:xfrm>
            <a:off x="1220120" y="2109328"/>
            <a:ext cx="13076355" cy="6355078"/>
            <a:chOff x="628650" y="319549"/>
            <a:chExt cx="13076355" cy="6355078"/>
          </a:xfrm>
        </xdr:grpSpPr>
        <xdr:sp macro="" textlink="">
          <xdr:nvSpPr>
            <xdr:cNvPr id="2" name="矩形: 圆角 1">
              <a:extLst>
                <a:ext uri="{FF2B5EF4-FFF2-40B4-BE49-F238E27FC236}">
                  <a16:creationId xmlns:a16="http://schemas.microsoft.com/office/drawing/2014/main" id="{27C839AD-6D0B-E165-8A66-A573281C9869}"/>
                </a:ext>
              </a:extLst>
            </xdr:cNvPr>
            <xdr:cNvSpPr/>
          </xdr:nvSpPr>
          <xdr:spPr>
            <a:xfrm>
              <a:off x="628650" y="319549"/>
              <a:ext cx="13076355" cy="6355078"/>
            </a:xfrm>
            <a:prstGeom prst="roundRect">
              <a:avLst/>
            </a:prstGeom>
            <a:scene3d>
              <a:camera prst="orthographicFront"/>
              <a:lightRig rig="threePt" dir="t"/>
            </a:scene3d>
            <a:sp3d>
              <a:bevelT w="165100" prst="coolSlant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26" name="矩形: 圆角 25">
              <a:extLst>
                <a:ext uri="{FF2B5EF4-FFF2-40B4-BE49-F238E27FC236}">
                  <a16:creationId xmlns:a16="http://schemas.microsoft.com/office/drawing/2014/main" id="{B45773C1-74D9-F436-3F8B-E7953B43DA83}"/>
                </a:ext>
              </a:extLst>
            </xdr:cNvPr>
            <xdr:cNvSpPr/>
          </xdr:nvSpPr>
          <xdr:spPr>
            <a:xfrm>
              <a:off x="1444113" y="944819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27" name="矩形: 圆角 26">
              <a:extLst>
                <a:ext uri="{FF2B5EF4-FFF2-40B4-BE49-F238E27FC236}">
                  <a16:creationId xmlns:a16="http://schemas.microsoft.com/office/drawing/2014/main" id="{A17D5582-21E7-4B37-A996-9E2102FAEE3A}"/>
                </a:ext>
              </a:extLst>
            </xdr:cNvPr>
            <xdr:cNvSpPr/>
          </xdr:nvSpPr>
          <xdr:spPr>
            <a:xfrm>
              <a:off x="1419840" y="3708912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0" name="矩形: 圆角 29">
              <a:extLst>
                <a:ext uri="{FF2B5EF4-FFF2-40B4-BE49-F238E27FC236}">
                  <a16:creationId xmlns:a16="http://schemas.microsoft.com/office/drawing/2014/main" id="{5A3BDD79-B013-D5E2-85D3-2B9E21F0407E}"/>
                </a:ext>
              </a:extLst>
            </xdr:cNvPr>
            <xdr:cNvSpPr/>
          </xdr:nvSpPr>
          <xdr:spPr>
            <a:xfrm>
              <a:off x="3071352" y="943590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1" name="矩形: 圆角 30">
              <a:extLst>
                <a:ext uri="{FF2B5EF4-FFF2-40B4-BE49-F238E27FC236}">
                  <a16:creationId xmlns:a16="http://schemas.microsoft.com/office/drawing/2014/main" id="{CAFAB5C8-03B8-23FF-120C-B45D4EE0D59A}"/>
                </a:ext>
              </a:extLst>
            </xdr:cNvPr>
            <xdr:cNvSpPr/>
          </xdr:nvSpPr>
          <xdr:spPr>
            <a:xfrm>
              <a:off x="3047079" y="3707683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3" name="矩形: 圆角 32">
              <a:extLst>
                <a:ext uri="{FF2B5EF4-FFF2-40B4-BE49-F238E27FC236}">
                  <a16:creationId xmlns:a16="http://schemas.microsoft.com/office/drawing/2014/main" id="{EE147EB9-0FB5-F046-2A17-4ABD4265788D}"/>
                </a:ext>
              </a:extLst>
            </xdr:cNvPr>
            <xdr:cNvSpPr/>
          </xdr:nvSpPr>
          <xdr:spPr>
            <a:xfrm>
              <a:off x="4660183" y="934679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4" name="矩形: 圆角 33">
              <a:extLst>
                <a:ext uri="{FF2B5EF4-FFF2-40B4-BE49-F238E27FC236}">
                  <a16:creationId xmlns:a16="http://schemas.microsoft.com/office/drawing/2014/main" id="{36BA4C50-BA84-F985-8DEC-F710CCBC9F13}"/>
                </a:ext>
              </a:extLst>
            </xdr:cNvPr>
            <xdr:cNvSpPr/>
          </xdr:nvSpPr>
          <xdr:spPr>
            <a:xfrm>
              <a:off x="4635910" y="3698772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6" name="矩形: 圆角 35">
              <a:extLst>
                <a:ext uri="{FF2B5EF4-FFF2-40B4-BE49-F238E27FC236}">
                  <a16:creationId xmlns:a16="http://schemas.microsoft.com/office/drawing/2014/main" id="{09BFC7DB-D78D-F8E0-CBAF-E1280D6650BE}"/>
                </a:ext>
              </a:extLst>
            </xdr:cNvPr>
            <xdr:cNvSpPr/>
          </xdr:nvSpPr>
          <xdr:spPr>
            <a:xfrm>
              <a:off x="6318147" y="918087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7" name="矩形: 圆角 36">
              <a:extLst>
                <a:ext uri="{FF2B5EF4-FFF2-40B4-BE49-F238E27FC236}">
                  <a16:creationId xmlns:a16="http://schemas.microsoft.com/office/drawing/2014/main" id="{C5BD0FE9-2FAF-5D8A-6B3E-BF0E776BC9A8}"/>
                </a:ext>
              </a:extLst>
            </xdr:cNvPr>
            <xdr:cNvSpPr/>
          </xdr:nvSpPr>
          <xdr:spPr>
            <a:xfrm>
              <a:off x="6293874" y="3682180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9" name="矩形: 圆角 38">
              <a:extLst>
                <a:ext uri="{FF2B5EF4-FFF2-40B4-BE49-F238E27FC236}">
                  <a16:creationId xmlns:a16="http://schemas.microsoft.com/office/drawing/2014/main" id="{594ED91B-069B-E741-68E9-230FFF2BF532}"/>
                </a:ext>
              </a:extLst>
            </xdr:cNvPr>
            <xdr:cNvSpPr/>
          </xdr:nvSpPr>
          <xdr:spPr>
            <a:xfrm>
              <a:off x="8014518" y="916858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40" name="矩形: 圆角 39">
              <a:extLst>
                <a:ext uri="{FF2B5EF4-FFF2-40B4-BE49-F238E27FC236}">
                  <a16:creationId xmlns:a16="http://schemas.microsoft.com/office/drawing/2014/main" id="{F602219C-3A2A-EDA8-3E20-455817929344}"/>
                </a:ext>
              </a:extLst>
            </xdr:cNvPr>
            <xdr:cNvSpPr/>
          </xdr:nvSpPr>
          <xdr:spPr>
            <a:xfrm>
              <a:off x="7990245" y="3680951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42" name="矩形: 圆角 41">
              <a:extLst>
                <a:ext uri="{FF2B5EF4-FFF2-40B4-BE49-F238E27FC236}">
                  <a16:creationId xmlns:a16="http://schemas.microsoft.com/office/drawing/2014/main" id="{DFF75A95-25D0-2CD0-92E2-566EDB43C9D5}"/>
                </a:ext>
              </a:extLst>
            </xdr:cNvPr>
            <xdr:cNvSpPr/>
          </xdr:nvSpPr>
          <xdr:spPr>
            <a:xfrm>
              <a:off x="9664801" y="900266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43" name="矩形: 圆角 42">
              <a:extLst>
                <a:ext uri="{FF2B5EF4-FFF2-40B4-BE49-F238E27FC236}">
                  <a16:creationId xmlns:a16="http://schemas.microsoft.com/office/drawing/2014/main" id="{6D5A2CC5-21B7-1056-CF29-223B6DE04A24}"/>
                </a:ext>
              </a:extLst>
            </xdr:cNvPr>
            <xdr:cNvSpPr/>
          </xdr:nvSpPr>
          <xdr:spPr>
            <a:xfrm>
              <a:off x="9640528" y="3664359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45" name="矩形: 圆角 44">
              <a:extLst>
                <a:ext uri="{FF2B5EF4-FFF2-40B4-BE49-F238E27FC236}">
                  <a16:creationId xmlns:a16="http://schemas.microsoft.com/office/drawing/2014/main" id="{558A63D1-BA92-B907-D699-05F795F2839A}"/>
                </a:ext>
              </a:extLst>
            </xdr:cNvPr>
            <xdr:cNvSpPr/>
          </xdr:nvSpPr>
          <xdr:spPr>
            <a:xfrm>
              <a:off x="11461032" y="891355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46" name="矩形: 圆角 45">
              <a:extLst>
                <a:ext uri="{FF2B5EF4-FFF2-40B4-BE49-F238E27FC236}">
                  <a16:creationId xmlns:a16="http://schemas.microsoft.com/office/drawing/2014/main" id="{52439627-F372-8B61-36CD-C78A59C8C718}"/>
                </a:ext>
              </a:extLst>
            </xdr:cNvPr>
            <xdr:cNvSpPr/>
          </xdr:nvSpPr>
          <xdr:spPr>
            <a:xfrm>
              <a:off x="11436759" y="3655448"/>
              <a:ext cx="1374980" cy="1951088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  <xdr:sp macro="" textlink="">
        <xdr:nvSpPr>
          <xdr:cNvPr id="76" name="矩形: 圆角 75">
            <a:extLst>
              <a:ext uri="{FF2B5EF4-FFF2-40B4-BE49-F238E27FC236}">
                <a16:creationId xmlns:a16="http://schemas.microsoft.com/office/drawing/2014/main" id="{C6DF246E-CFA6-7FA6-D281-C2F61FE78C68}"/>
              </a:ext>
            </a:extLst>
          </xdr:cNvPr>
          <xdr:cNvSpPr/>
        </xdr:nvSpPr>
        <xdr:spPr>
          <a:xfrm>
            <a:off x="2534879" y="322621"/>
            <a:ext cx="10608085" cy="1459476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31</xdr:col>
      <xdr:colOff>99039</xdr:colOff>
      <xdr:row>36</xdr:row>
      <xdr:rowOff>44861</xdr:rowOff>
    </xdr:from>
    <xdr:to>
      <xdr:col>31</xdr:col>
      <xdr:colOff>244880</xdr:colOff>
      <xdr:row>37</xdr:row>
      <xdr:rowOff>118996</xdr:rowOff>
    </xdr:to>
    <xdr:sp macro="" textlink="">
      <xdr:nvSpPr>
        <xdr:cNvPr id="49" name="文本框 48">
          <a:extLst>
            <a:ext uri="{FF2B5EF4-FFF2-40B4-BE49-F238E27FC236}">
              <a16:creationId xmlns:a16="http://schemas.microsoft.com/office/drawing/2014/main" id="{9BEE5BC7-DECA-55CD-63DA-CB8B160CB886}"/>
            </a:ext>
          </a:extLst>
        </xdr:cNvPr>
        <xdr:cNvSpPr txBox="1"/>
      </xdr:nvSpPr>
      <xdr:spPr>
        <a:xfrm rot="3841970" flipH="1" flipV="1">
          <a:off x="21339539" y="6457587"/>
          <a:ext cx="250809" cy="145841"/>
        </a:xfrm>
        <a:custGeom>
          <a:avLst/>
          <a:gdLst>
            <a:gd name="connsiteX0" fmla="*/ 0 w 368710"/>
            <a:gd name="connsiteY0" fmla="*/ 0 h 868003"/>
            <a:gd name="connsiteX1" fmla="*/ 368710 w 368710"/>
            <a:gd name="connsiteY1" fmla="*/ 0 h 868003"/>
            <a:gd name="connsiteX2" fmla="*/ 368710 w 368710"/>
            <a:gd name="connsiteY2" fmla="*/ 868003 h 868003"/>
            <a:gd name="connsiteX3" fmla="*/ 0 w 368710"/>
            <a:gd name="connsiteY3" fmla="*/ 868003 h 868003"/>
            <a:gd name="connsiteX4" fmla="*/ 0 w 368710"/>
            <a:gd name="connsiteY4" fmla="*/ 0 h 868003"/>
            <a:gd name="connsiteX0" fmla="*/ 0 w 368710"/>
            <a:gd name="connsiteY0" fmla="*/ 0 h 868003"/>
            <a:gd name="connsiteX1" fmla="*/ 99819 w 368710"/>
            <a:gd name="connsiteY1" fmla="*/ 569653 h 868003"/>
            <a:gd name="connsiteX2" fmla="*/ 368710 w 368710"/>
            <a:gd name="connsiteY2" fmla="*/ 868003 h 868003"/>
            <a:gd name="connsiteX3" fmla="*/ 0 w 368710"/>
            <a:gd name="connsiteY3" fmla="*/ 868003 h 868003"/>
            <a:gd name="connsiteX4" fmla="*/ 0 w 368710"/>
            <a:gd name="connsiteY4" fmla="*/ 0 h 868003"/>
            <a:gd name="connsiteX0" fmla="*/ 0 w 368710"/>
            <a:gd name="connsiteY0" fmla="*/ 0 h 868003"/>
            <a:gd name="connsiteX1" fmla="*/ 368710 w 368710"/>
            <a:gd name="connsiteY1" fmla="*/ 868003 h 868003"/>
            <a:gd name="connsiteX2" fmla="*/ 0 w 368710"/>
            <a:gd name="connsiteY2" fmla="*/ 868003 h 868003"/>
            <a:gd name="connsiteX3" fmla="*/ 0 w 368710"/>
            <a:gd name="connsiteY3" fmla="*/ 0 h 868003"/>
            <a:gd name="connsiteX0" fmla="*/ 0 w 0"/>
            <a:gd name="connsiteY0" fmla="*/ 0 h 868003"/>
            <a:gd name="connsiteX1" fmla="*/ 0 w 0"/>
            <a:gd name="connsiteY1" fmla="*/ 868003 h 868003"/>
            <a:gd name="connsiteX2" fmla="*/ 0 w 0"/>
            <a:gd name="connsiteY2" fmla="*/ 0 h 8680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h="868003">
              <a:moveTo>
                <a:pt x="0" y="0"/>
              </a:moveTo>
              <a:lnTo>
                <a:pt x="0" y="868003"/>
              </a:lnTo>
              <a:lnTo>
                <a:pt x="0" y="0"/>
              </a:lnTo>
              <a:close/>
            </a:path>
          </a:pathLst>
        </a:cu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zh-CN" altLang="en-US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337984</xdr:colOff>
      <xdr:row>16</xdr:row>
      <xdr:rowOff>168990</xdr:rowOff>
    </xdr:from>
    <xdr:to>
      <xdr:col>2</xdr:col>
      <xdr:colOff>537702</xdr:colOff>
      <xdr:row>24</xdr:row>
      <xdr:rowOff>115220</xdr:rowOff>
    </xdr:to>
    <xdr:sp macro="" textlink="">
      <xdr:nvSpPr>
        <xdr:cNvPr id="61" name="文本框 6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8A906C-C113-D150-46CE-D99C3C7CA540}"/>
            </a:ext>
          </a:extLst>
        </xdr:cNvPr>
        <xdr:cNvSpPr txBox="1"/>
      </xdr:nvSpPr>
      <xdr:spPr>
        <a:xfrm>
          <a:off x="2273710" y="2995764"/>
          <a:ext cx="844960" cy="135961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一</a:t>
          </a:r>
          <a:endParaRPr lang="en-US" altLang="zh-CN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月</a:t>
          </a:r>
        </a:p>
      </xdr:txBody>
    </xdr:sp>
    <xdr:clientData/>
  </xdr:twoCellAnchor>
  <xdr:twoCellAnchor>
    <xdr:from>
      <xdr:col>4</xdr:col>
      <xdr:colOff>0</xdr:colOff>
      <xdr:row>16</xdr:row>
      <xdr:rowOff>161310</xdr:rowOff>
    </xdr:from>
    <xdr:to>
      <xdr:col>5</xdr:col>
      <xdr:colOff>199718</xdr:colOff>
      <xdr:row>24</xdr:row>
      <xdr:rowOff>107540</xdr:rowOff>
    </xdr:to>
    <xdr:sp macro="" textlink="">
      <xdr:nvSpPr>
        <xdr:cNvPr id="62" name="文本框 6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813A9C-5FE0-552E-C6B0-AE2BCB3D4190}"/>
            </a:ext>
          </a:extLst>
        </xdr:cNvPr>
        <xdr:cNvSpPr txBox="1"/>
      </xdr:nvSpPr>
      <xdr:spPr>
        <a:xfrm>
          <a:off x="3871452" y="2988084"/>
          <a:ext cx="844960" cy="135961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三</a:t>
          </a:r>
          <a:endParaRPr lang="en-US" altLang="zh-CN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月</a:t>
          </a:r>
        </a:p>
      </xdr:txBody>
    </xdr:sp>
    <xdr:clientData/>
  </xdr:twoCellAnchor>
  <xdr:twoCellAnchor>
    <xdr:from>
      <xdr:col>6</xdr:col>
      <xdr:colOff>330303</xdr:colOff>
      <xdr:row>16</xdr:row>
      <xdr:rowOff>115221</xdr:rowOff>
    </xdr:from>
    <xdr:to>
      <xdr:col>7</xdr:col>
      <xdr:colOff>530021</xdr:colOff>
      <xdr:row>24</xdr:row>
      <xdr:rowOff>61451</xdr:rowOff>
    </xdr:to>
    <xdr:sp macro="" textlink="">
      <xdr:nvSpPr>
        <xdr:cNvPr id="63" name="文本框 6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6A9D08-2051-29A9-BC65-73949E2BE7AA}"/>
            </a:ext>
          </a:extLst>
        </xdr:cNvPr>
        <xdr:cNvSpPr txBox="1"/>
      </xdr:nvSpPr>
      <xdr:spPr>
        <a:xfrm>
          <a:off x="5492238" y="2941995"/>
          <a:ext cx="844960" cy="135961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五</a:t>
          </a:r>
          <a:endParaRPr lang="en-US" altLang="zh-CN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月</a:t>
          </a:r>
        </a:p>
      </xdr:txBody>
    </xdr:sp>
    <xdr:clientData/>
  </xdr:twoCellAnchor>
  <xdr:twoCellAnchor>
    <xdr:from>
      <xdr:col>9</xdr:col>
      <xdr:colOff>38408</xdr:colOff>
      <xdr:row>16</xdr:row>
      <xdr:rowOff>122903</xdr:rowOff>
    </xdr:from>
    <xdr:to>
      <xdr:col>10</xdr:col>
      <xdr:colOff>238126</xdr:colOff>
      <xdr:row>24</xdr:row>
      <xdr:rowOff>69133</xdr:rowOff>
    </xdr:to>
    <xdr:sp macro="" textlink="">
      <xdr:nvSpPr>
        <xdr:cNvPr id="64" name="文本框 6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FEC5057-D57A-C25F-8389-E8FD4C647AE1}"/>
            </a:ext>
          </a:extLst>
        </xdr:cNvPr>
        <xdr:cNvSpPr txBox="1"/>
      </xdr:nvSpPr>
      <xdr:spPr>
        <a:xfrm>
          <a:off x="7136069" y="2949677"/>
          <a:ext cx="844960" cy="135961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七</a:t>
          </a:r>
          <a:endParaRPr lang="en-US" altLang="zh-CN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月</a:t>
          </a:r>
        </a:p>
      </xdr:txBody>
    </xdr:sp>
    <xdr:clientData/>
  </xdr:twoCellAnchor>
  <xdr:twoCellAnchor>
    <xdr:from>
      <xdr:col>11</xdr:col>
      <xdr:colOff>445525</xdr:colOff>
      <xdr:row>16</xdr:row>
      <xdr:rowOff>76814</xdr:rowOff>
    </xdr:from>
    <xdr:to>
      <xdr:col>13</xdr:col>
      <xdr:colOff>1</xdr:colOff>
      <xdr:row>24</xdr:row>
      <xdr:rowOff>23044</xdr:rowOff>
    </xdr:to>
    <xdr:sp macro="" textlink="">
      <xdr:nvSpPr>
        <xdr:cNvPr id="65" name="文本框 6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CC4E497-27A0-904D-A056-D024E3FAE757}"/>
            </a:ext>
          </a:extLst>
        </xdr:cNvPr>
        <xdr:cNvSpPr txBox="1"/>
      </xdr:nvSpPr>
      <xdr:spPr>
        <a:xfrm>
          <a:off x="8833670" y="2903588"/>
          <a:ext cx="844960" cy="135961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九</a:t>
          </a:r>
          <a:endParaRPr lang="en-US" altLang="zh-CN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月</a:t>
          </a:r>
        </a:p>
      </xdr:txBody>
    </xdr:sp>
    <xdr:clientData/>
  </xdr:twoCellAnchor>
  <xdr:twoCellAnchor>
    <xdr:from>
      <xdr:col>14</xdr:col>
      <xdr:colOff>192037</xdr:colOff>
      <xdr:row>16</xdr:row>
      <xdr:rowOff>99859</xdr:rowOff>
    </xdr:from>
    <xdr:to>
      <xdr:col>15</xdr:col>
      <xdr:colOff>391755</xdr:colOff>
      <xdr:row>25</xdr:row>
      <xdr:rowOff>61451</xdr:rowOff>
    </xdr:to>
    <xdr:sp macro="" textlink="">
      <xdr:nvSpPr>
        <xdr:cNvPr id="66" name="文本框 6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F83FAD6-CB65-786E-40F0-39E29CF4CB51}"/>
            </a:ext>
          </a:extLst>
        </xdr:cNvPr>
        <xdr:cNvSpPr txBox="1"/>
      </xdr:nvSpPr>
      <xdr:spPr>
        <a:xfrm>
          <a:off x="10515908" y="2926633"/>
          <a:ext cx="844960" cy="1551653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十一</a:t>
          </a:r>
          <a:endParaRPr lang="en-US" altLang="zh-CN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月</a:t>
          </a:r>
        </a:p>
      </xdr:txBody>
    </xdr:sp>
    <xdr:clientData/>
  </xdr:twoCellAnchor>
  <xdr:twoCellAnchor>
    <xdr:from>
      <xdr:col>17</xdr:col>
      <xdr:colOff>15363</xdr:colOff>
      <xdr:row>16</xdr:row>
      <xdr:rowOff>92177</xdr:rowOff>
    </xdr:from>
    <xdr:to>
      <xdr:col>18</xdr:col>
      <xdr:colOff>215081</xdr:colOff>
      <xdr:row>25</xdr:row>
      <xdr:rowOff>15363</xdr:rowOff>
    </xdr:to>
    <xdr:sp macro="" textlink="">
      <xdr:nvSpPr>
        <xdr:cNvPr id="67" name="文本框 6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9E99B17-2D16-C32F-A65A-C281B5796E65}"/>
            </a:ext>
          </a:extLst>
        </xdr:cNvPr>
        <xdr:cNvSpPr txBox="1"/>
      </xdr:nvSpPr>
      <xdr:spPr>
        <a:xfrm>
          <a:off x="12274960" y="2918951"/>
          <a:ext cx="844960" cy="151324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特</a:t>
          </a:r>
          <a:endParaRPr lang="en-US" altLang="zh-CN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别</a:t>
          </a:r>
          <a:endParaRPr lang="en-US" altLang="zh-CN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立</a:t>
          </a:r>
          <a:endParaRPr lang="en-US" altLang="zh-CN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项</a:t>
          </a:r>
          <a:endParaRPr lang="en-US" altLang="zh-CN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299577</xdr:colOff>
      <xdr:row>32</xdr:row>
      <xdr:rowOff>145946</xdr:rowOff>
    </xdr:from>
    <xdr:to>
      <xdr:col>2</xdr:col>
      <xdr:colOff>499295</xdr:colOff>
      <xdr:row>40</xdr:row>
      <xdr:rowOff>92176</xdr:rowOff>
    </xdr:to>
    <xdr:sp macro="" textlink="">
      <xdr:nvSpPr>
        <xdr:cNvPr id="68" name="文本框 6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9AB1326-9EF5-2467-B532-103419AB540C}"/>
            </a:ext>
          </a:extLst>
        </xdr:cNvPr>
        <xdr:cNvSpPr txBox="1"/>
      </xdr:nvSpPr>
      <xdr:spPr>
        <a:xfrm>
          <a:off x="2235303" y="5799494"/>
          <a:ext cx="844960" cy="135961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二</a:t>
          </a:r>
          <a:endParaRPr lang="en-US" altLang="zh-CN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月</a:t>
          </a:r>
        </a:p>
      </xdr:txBody>
    </xdr:sp>
    <xdr:clientData/>
  </xdr:twoCellAnchor>
  <xdr:twoCellAnchor>
    <xdr:from>
      <xdr:col>17</xdr:col>
      <xdr:colOff>23045</xdr:colOff>
      <xdr:row>32</xdr:row>
      <xdr:rowOff>38408</xdr:rowOff>
    </xdr:from>
    <xdr:to>
      <xdr:col>18</xdr:col>
      <xdr:colOff>222763</xdr:colOff>
      <xdr:row>40</xdr:row>
      <xdr:rowOff>145948</xdr:rowOff>
    </xdr:to>
    <xdr:sp macro="" textlink="">
      <xdr:nvSpPr>
        <xdr:cNvPr id="69" name="文本框 6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406CAF8-D685-EAB2-8A6D-A599CB22CDB2}"/>
            </a:ext>
          </a:extLst>
        </xdr:cNvPr>
        <xdr:cNvSpPr txBox="1"/>
      </xdr:nvSpPr>
      <xdr:spPr>
        <a:xfrm>
          <a:off x="12282642" y="5691956"/>
          <a:ext cx="844960" cy="152092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总</a:t>
          </a:r>
          <a:endParaRPr lang="en-US" altLang="zh-CN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计</a:t>
          </a:r>
          <a:endParaRPr lang="en-US" altLang="zh-CN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处</a:t>
          </a:r>
          <a:endParaRPr lang="en-US" altLang="zh-CN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637561</xdr:colOff>
      <xdr:row>32</xdr:row>
      <xdr:rowOff>107538</xdr:rowOff>
    </xdr:from>
    <xdr:to>
      <xdr:col>5</xdr:col>
      <xdr:colOff>192037</xdr:colOff>
      <xdr:row>40</xdr:row>
      <xdr:rowOff>53768</xdr:rowOff>
    </xdr:to>
    <xdr:sp macro="" textlink="">
      <xdr:nvSpPr>
        <xdr:cNvPr id="71" name="文本框 7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E506A74-BC3B-0055-CAEE-035A9FACB72D}"/>
            </a:ext>
          </a:extLst>
        </xdr:cNvPr>
        <xdr:cNvSpPr txBox="1"/>
      </xdr:nvSpPr>
      <xdr:spPr>
        <a:xfrm>
          <a:off x="3863771" y="5761086"/>
          <a:ext cx="844960" cy="135961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四</a:t>
          </a:r>
          <a:endParaRPr lang="en-US" altLang="zh-CN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月</a:t>
          </a:r>
        </a:p>
      </xdr:txBody>
    </xdr:sp>
    <xdr:clientData/>
  </xdr:twoCellAnchor>
  <xdr:twoCellAnchor>
    <xdr:from>
      <xdr:col>6</xdr:col>
      <xdr:colOff>314940</xdr:colOff>
      <xdr:row>32</xdr:row>
      <xdr:rowOff>99857</xdr:rowOff>
    </xdr:from>
    <xdr:to>
      <xdr:col>7</xdr:col>
      <xdr:colOff>514658</xdr:colOff>
      <xdr:row>40</xdr:row>
      <xdr:rowOff>46087</xdr:rowOff>
    </xdr:to>
    <xdr:sp macro="" textlink="">
      <xdr:nvSpPr>
        <xdr:cNvPr id="72" name="文本框 7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B5D20C1-9FBC-B323-0BF5-382C0AF18BAF}"/>
            </a:ext>
          </a:extLst>
        </xdr:cNvPr>
        <xdr:cNvSpPr txBox="1"/>
      </xdr:nvSpPr>
      <xdr:spPr>
        <a:xfrm>
          <a:off x="5476875" y="5753405"/>
          <a:ext cx="844960" cy="135961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六</a:t>
          </a:r>
          <a:endParaRPr lang="en-US" altLang="zh-CN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月</a:t>
          </a:r>
        </a:p>
      </xdr:txBody>
    </xdr:sp>
    <xdr:clientData/>
  </xdr:twoCellAnchor>
  <xdr:twoCellAnchor>
    <xdr:from>
      <xdr:col>9</xdr:col>
      <xdr:colOff>23045</xdr:colOff>
      <xdr:row>32</xdr:row>
      <xdr:rowOff>69132</xdr:rowOff>
    </xdr:from>
    <xdr:to>
      <xdr:col>10</xdr:col>
      <xdr:colOff>222763</xdr:colOff>
      <xdr:row>40</xdr:row>
      <xdr:rowOff>15362</xdr:rowOff>
    </xdr:to>
    <xdr:sp macro="" textlink="">
      <xdr:nvSpPr>
        <xdr:cNvPr id="73" name="文本框 7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42073C0-3FA9-0605-4903-7669FF7CE722}"/>
            </a:ext>
          </a:extLst>
        </xdr:cNvPr>
        <xdr:cNvSpPr txBox="1"/>
      </xdr:nvSpPr>
      <xdr:spPr>
        <a:xfrm>
          <a:off x="7120706" y="5722680"/>
          <a:ext cx="844960" cy="135961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八</a:t>
          </a:r>
          <a:endParaRPr lang="en-US" altLang="zh-CN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月</a:t>
          </a:r>
        </a:p>
      </xdr:txBody>
    </xdr:sp>
    <xdr:clientData/>
  </xdr:twoCellAnchor>
  <xdr:twoCellAnchor>
    <xdr:from>
      <xdr:col>11</xdr:col>
      <xdr:colOff>422480</xdr:colOff>
      <xdr:row>32</xdr:row>
      <xdr:rowOff>122902</xdr:rowOff>
    </xdr:from>
    <xdr:to>
      <xdr:col>12</xdr:col>
      <xdr:colOff>622198</xdr:colOff>
      <xdr:row>40</xdr:row>
      <xdr:rowOff>69132</xdr:rowOff>
    </xdr:to>
    <xdr:sp macro="" textlink="">
      <xdr:nvSpPr>
        <xdr:cNvPr id="74" name="文本框 7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EDB672B-3D9A-529D-7E37-C5535EBC36A7}"/>
            </a:ext>
          </a:extLst>
        </xdr:cNvPr>
        <xdr:cNvSpPr txBox="1"/>
      </xdr:nvSpPr>
      <xdr:spPr>
        <a:xfrm>
          <a:off x="8810625" y="5776450"/>
          <a:ext cx="844960" cy="135961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十</a:t>
          </a:r>
          <a:endParaRPr lang="en-US" altLang="zh-CN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月</a:t>
          </a:r>
        </a:p>
      </xdr:txBody>
    </xdr:sp>
    <xdr:clientData/>
  </xdr:twoCellAnchor>
  <xdr:twoCellAnchor>
    <xdr:from>
      <xdr:col>14</xdr:col>
      <xdr:colOff>176673</xdr:colOff>
      <xdr:row>32</xdr:row>
      <xdr:rowOff>7680</xdr:rowOff>
    </xdr:from>
    <xdr:to>
      <xdr:col>15</xdr:col>
      <xdr:colOff>376391</xdr:colOff>
      <xdr:row>40</xdr:row>
      <xdr:rowOff>161311</xdr:rowOff>
    </xdr:to>
    <xdr:sp macro="" textlink="">
      <xdr:nvSpPr>
        <xdr:cNvPr id="75" name="文本框 7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8DB4128-D23B-9C12-2275-2DD2129CDA69}"/>
            </a:ext>
          </a:extLst>
        </xdr:cNvPr>
        <xdr:cNvSpPr txBox="1"/>
      </xdr:nvSpPr>
      <xdr:spPr>
        <a:xfrm>
          <a:off x="10500544" y="5661228"/>
          <a:ext cx="844960" cy="156701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十二</a:t>
          </a:r>
          <a:endParaRPr lang="en-US" altLang="zh-CN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ea"/>
            <a:ea typeface="+mj-ea"/>
          </a:endParaRPr>
        </a:p>
        <a:p>
          <a:pPr algn="ctr"/>
          <a:r>
            <a:rPr lang="zh-CN" alt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月</a:t>
          </a:r>
        </a:p>
      </xdr:txBody>
    </xdr:sp>
    <xdr:clientData/>
  </xdr:twoCellAnchor>
  <xdr:twoCellAnchor>
    <xdr:from>
      <xdr:col>2</xdr:col>
      <xdr:colOff>467091</xdr:colOff>
      <xdr:row>5</xdr:row>
      <xdr:rowOff>164856</xdr:rowOff>
    </xdr:from>
    <xdr:to>
      <xdr:col>17</xdr:col>
      <xdr:colOff>119062</xdr:colOff>
      <xdr:row>10</xdr:row>
      <xdr:rowOff>106950</xdr:rowOff>
    </xdr:to>
    <xdr:sp macro="" textlink="">
      <xdr:nvSpPr>
        <xdr:cNvPr id="77" name="文本框 76">
          <a:extLst>
            <a:ext uri="{FF2B5EF4-FFF2-40B4-BE49-F238E27FC236}">
              <a16:creationId xmlns:a16="http://schemas.microsoft.com/office/drawing/2014/main" id="{3B803AB2-92D5-DFFA-6664-C3E6B84DF7F3}"/>
            </a:ext>
          </a:extLst>
        </xdr:cNvPr>
        <xdr:cNvSpPr txBox="1"/>
      </xdr:nvSpPr>
      <xdr:spPr>
        <a:xfrm>
          <a:off x="1767620" y="1053246"/>
          <a:ext cx="9405938" cy="812166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36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2024</a:t>
          </a:r>
          <a:r>
            <a:rPr lang="zh-CN" altLang="en-US" sz="36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ea"/>
              <a:ea typeface="+mj-ea"/>
            </a:rPr>
            <a:t>综合财报管理处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2959894</xdr:colOff>
      <xdr:row>36</xdr:row>
      <xdr:rowOff>157162</xdr:rowOff>
    </xdr:from>
    <xdr:ext cx="11603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F4D13591-22BC-B544-1A08-3DE953BBB7E0}"/>
                </a:ext>
              </a:extLst>
            </xdr:cNvPr>
            <xdr:cNvSpPr txBox="1"/>
          </xdr:nvSpPr>
          <xdr:spPr>
            <a:xfrm>
              <a:off x="6179344" y="6500812"/>
              <a:ext cx="11603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zh-CN" altLang="en-US" sz="1100" i="1">
                        <a:latin typeface="Cambria Math" panose="02040503050406030204" pitchFamily="18" charset="0"/>
                      </a:rPr>
                      <a:t>在此处键入公式。</a:t>
                    </a:fld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F4D13591-22BC-B544-1A08-3DE953BBB7E0}"/>
                </a:ext>
              </a:extLst>
            </xdr:cNvPr>
            <xdr:cNvSpPr txBox="1"/>
          </xdr:nvSpPr>
          <xdr:spPr>
            <a:xfrm>
              <a:off x="6179344" y="6500812"/>
              <a:ext cx="11603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"在此处键入公式。"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91586</xdr:colOff>
      <xdr:row>42</xdr:row>
      <xdr:rowOff>78442</xdr:rowOff>
    </xdr:from>
    <xdr:to>
      <xdr:col>27</xdr:col>
      <xdr:colOff>67234</xdr:colOff>
      <xdr:row>55</xdr:row>
      <xdr:rowOff>112059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9AF0C15-9FF9-5FEC-C3FC-21123854D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359663</xdr:colOff>
      <xdr:row>42</xdr:row>
      <xdr:rowOff>134471</xdr:rowOff>
    </xdr:from>
    <xdr:to>
      <xdr:col>30</xdr:col>
      <xdr:colOff>280147</xdr:colOff>
      <xdr:row>55</xdr:row>
      <xdr:rowOff>117660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C0F07B0-E7DE-4880-A6F4-39CEDD3B6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503464</xdr:colOff>
      <xdr:row>26</xdr:row>
      <xdr:rowOff>108858</xdr:rowOff>
    </xdr:from>
    <xdr:to>
      <xdr:col>56</xdr:col>
      <xdr:colOff>571500</xdr:colOff>
      <xdr:row>42</xdr:row>
      <xdr:rowOff>115661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9F6240B-F79B-4F1E-B6BC-61EA0005D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644336</xdr:colOff>
      <xdr:row>42</xdr:row>
      <xdr:rowOff>72839</xdr:rowOff>
    </xdr:from>
    <xdr:to>
      <xdr:col>37</xdr:col>
      <xdr:colOff>207308</xdr:colOff>
      <xdr:row>55</xdr:row>
      <xdr:rowOff>67235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C7C2655-A851-06C0-3DD3-81D5D1CFB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442633</xdr:colOff>
      <xdr:row>42</xdr:row>
      <xdr:rowOff>106456</xdr:rowOff>
    </xdr:from>
    <xdr:to>
      <xdr:col>33</xdr:col>
      <xdr:colOff>484653</xdr:colOff>
      <xdr:row>55</xdr:row>
      <xdr:rowOff>89647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46572EA-1CBA-08F1-9A5B-55CFDC580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60</xdr:col>
      <xdr:colOff>424295</xdr:colOff>
      <xdr:row>26</xdr:row>
      <xdr:rowOff>121227</xdr:rowOff>
    </xdr:from>
    <xdr:to>
      <xdr:col>70</xdr:col>
      <xdr:colOff>346365</xdr:colOff>
      <xdr:row>43</xdr:row>
      <xdr:rowOff>95249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3F2ED0F6-CF32-FB98-E720-8B104B0E1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614796</xdr:colOff>
      <xdr:row>42</xdr:row>
      <xdr:rowOff>43295</xdr:rowOff>
    </xdr:from>
    <xdr:to>
      <xdr:col>42</xdr:col>
      <xdr:colOff>303069</xdr:colOff>
      <xdr:row>54</xdr:row>
      <xdr:rowOff>137679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2789D95-9C73-98D2-DD45-49370F23B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102127</xdr:colOff>
      <xdr:row>67</xdr:row>
      <xdr:rowOff>78952</xdr:rowOff>
    </xdr:from>
    <xdr:to>
      <xdr:col>27</xdr:col>
      <xdr:colOff>230229</xdr:colOff>
      <xdr:row>80</xdr:row>
      <xdr:rowOff>1426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A8B5D0C8-8FF7-FA18-2B60-64CB7205B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366992</xdr:colOff>
      <xdr:row>67</xdr:row>
      <xdr:rowOff>61631</xdr:rowOff>
    </xdr:from>
    <xdr:to>
      <xdr:col>30</xdr:col>
      <xdr:colOff>644338</xdr:colOff>
      <xdr:row>79</xdr:row>
      <xdr:rowOff>162484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BA7FFAA1-B976-759E-D1C0-B6DA47DE5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361389</xdr:colOff>
      <xdr:row>67</xdr:row>
      <xdr:rowOff>89647</xdr:rowOff>
    </xdr:from>
    <xdr:to>
      <xdr:col>34</xdr:col>
      <xdr:colOff>565897</xdr:colOff>
      <xdr:row>79</xdr:row>
      <xdr:rowOff>123264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2C89377-E506-49EE-9EA3-F7EBF4744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IECT\&#19996;&#38401;\2023&#32508;&#21512;&#36130;&#25253;&#31649;&#29702;&#22788;.xlsx" TargetMode="External"/><Relationship Id="rId1" Type="http://schemas.openxmlformats.org/officeDocument/2006/relationships/externalLinkPath" Target="2023&#32508;&#21512;&#36130;&#25253;&#31649;&#29702;&#227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支出"/>
      <sheetName val="收入"/>
      <sheetName val="8.9月办卡业务统计区"/>
      <sheetName val="其他统计"/>
    </sheetNames>
    <sheetDataSet>
      <sheetData sheetId="0">
        <row r="6">
          <cell r="K6" t="str">
            <v>金额</v>
          </cell>
        </row>
        <row r="7">
          <cell r="J7">
            <v>9</v>
          </cell>
          <cell r="K7">
            <v>2798.73</v>
          </cell>
        </row>
        <row r="8">
          <cell r="J8">
            <v>10</v>
          </cell>
          <cell r="K8">
            <v>1771.24</v>
          </cell>
        </row>
        <row r="9">
          <cell r="J9">
            <v>11</v>
          </cell>
          <cell r="K9">
            <v>1532.4399999999998</v>
          </cell>
        </row>
        <row r="10">
          <cell r="J10">
            <v>12</v>
          </cell>
          <cell r="K10">
            <v>1753.07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323.961108333337" createdVersion="8" refreshedVersion="8" minRefreshableVersion="3" recordCount="37" xr:uid="{D94EC0D1-EBFF-4C3A-BC27-FB7C3EF245F0}">
  <cacheSource type="worksheet">
    <worksheetSource ref="A3:H40" sheet="Sheet35"/>
  </cacheSource>
  <cacheFields count="8">
    <cacheField name="日期" numFmtId="14">
      <sharedItems containsNonDate="0" containsDate="1" containsString="0" containsBlank="1" minDate="2024-01-01T00:00:00" maxDate="2024-01-31T00:00:00"/>
    </cacheField>
    <cacheField name="星期" numFmtId="0">
      <sharedItems containsBlank="1"/>
    </cacheField>
    <cacheField name="收/支" numFmtId="0">
      <sharedItems/>
    </cacheField>
    <cacheField name="类型" numFmtId="0">
      <sharedItems count="5">
        <s v="外务"/>
        <s v="生活"/>
        <s v="饮食"/>
        <s v="学习"/>
        <s v="特别立项"/>
      </sharedItems>
    </cacheField>
    <cacheField name="详细" numFmtId="0">
      <sharedItems containsMixedTypes="1" containsNumber="1" containsInteger="1" minValue="6" maxValue="6"/>
    </cacheField>
    <cacheField name="金额" numFmtId="176">
      <sharedItems containsSemiMixedTypes="0" containsString="0" containsNumber="1" minValue="-100" maxValue="372.07"/>
    </cacheField>
    <cacheField name="总计" numFmtId="176">
      <sharedItems containsString="0" containsBlank="1" containsNumber="1" minValue="8.6" maxValue="372.07"/>
    </cacheField>
    <cacheField name="核算列" numFmtId="0">
      <sharedItems containsBlank="1" containsMixedTypes="1" containsNumber="1" minValue="-100" maxValue="-9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363.561051504628" createdVersion="8" refreshedVersion="8" minRefreshableVersion="3" recordCount="41" xr:uid="{89BC3EDD-8509-4565-868D-12587B55675E}">
  <cacheSource type="worksheet">
    <worksheetSource ref="C3:F44" sheet="Sheet36"/>
  </cacheSource>
  <cacheFields count="4">
    <cacheField name="收/支" numFmtId="0">
      <sharedItems count="2">
        <s v="支"/>
        <s v="收"/>
      </sharedItems>
    </cacheField>
    <cacheField name="类型" numFmtId="0">
      <sharedItems count="5">
        <s v="生活"/>
        <s v="外务"/>
        <s v="特别立项"/>
        <s v="饮食"/>
        <s v="学习"/>
      </sharedItems>
    </cacheField>
    <cacheField name="详细" numFmtId="0">
      <sharedItems containsMixedTypes="1" containsNumber="1" containsInteger="1" minValue="12" maxValue="12"/>
    </cacheField>
    <cacheField name="金额" numFmtId="178">
      <sharedItems containsString="0" containsBlank="1" containsNumber="1" minValue="2.25" maxValue="372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392.995421180553" createdVersion="8" refreshedVersion="8" minRefreshableVersion="3" recordCount="53" xr:uid="{02E94233-E437-46EE-9DF5-4E607D033F16}">
  <cacheSource type="worksheet">
    <worksheetSource ref="A3:F56" sheet="Sheet37"/>
  </cacheSource>
  <cacheFields count="6">
    <cacheField name="日期" numFmtId="179">
      <sharedItems containsNonDate="0" containsDate="1" containsString="0" containsBlank="1" minDate="2024-02-23T00:00:00" maxDate="2024-04-01T00:00:00"/>
    </cacheField>
    <cacheField name="星期" numFmtId="0">
      <sharedItems containsBlank="1"/>
    </cacheField>
    <cacheField name="收/支" numFmtId="0">
      <sharedItems/>
    </cacheField>
    <cacheField name="类型" numFmtId="0">
      <sharedItems count="5">
        <s v="饮食"/>
        <s v="生活"/>
        <s v="学习"/>
        <s v="特别立项"/>
        <s v="外务"/>
      </sharedItems>
    </cacheField>
    <cacheField name="详细" numFmtId="0">
      <sharedItems containsMixedTypes="1" containsNumber="1" minValue="9.89" maxValue="9.89"/>
    </cacheField>
    <cacheField name="金额" numFmtId="178">
      <sharedItems containsString="0" containsBlank="1" containsNumber="1" minValue="0.6" maxValue="3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447.552935995373" createdVersion="8" refreshedVersion="8" minRefreshableVersion="3" recordCount="51" xr:uid="{987AB3F4-E1DA-438E-BF36-34808C79645F}">
  <cacheSource type="worksheet">
    <worksheetSource ref="A3:F54" sheet="Sheet38"/>
  </cacheSource>
  <cacheFields count="6">
    <cacheField name="日期" numFmtId="179">
      <sharedItems containsNonDate="0" containsDate="1" containsString="0" containsBlank="1" minDate="2024-04-01T00:00:00" maxDate="2024-05-01T00:00:00"/>
    </cacheField>
    <cacheField name="星期" numFmtId="0">
      <sharedItems containsBlank="1"/>
    </cacheField>
    <cacheField name="收/支" numFmtId="0">
      <sharedItems/>
    </cacheField>
    <cacheField name="类型" numFmtId="0">
      <sharedItems count="4">
        <s v="饮食"/>
        <s v="学习"/>
        <s v="生活"/>
        <s v="特别立项"/>
      </sharedItems>
    </cacheField>
    <cacheField name="详细" numFmtId="0">
      <sharedItems containsMixedTypes="1" containsNumber="1" containsInteger="1" minValue="10" maxValue="10" count="41">
        <s v="3+10+10"/>
        <s v="3+10.5+13"/>
        <s v="本子"/>
        <s v="实验服"/>
        <s v="DD订水"/>
        <s v="3.5+1.8+10+10.5"/>
        <s v="交通"/>
        <s v="11+10"/>
        <s v="话费"/>
        <s v="洗浴"/>
        <s v="2.5+13+12"/>
        <s v="3+12.5+13"/>
        <s v="4.5+10+12"/>
        <s v="4+10+12"/>
        <s v="实验手套"/>
        <s v="2.5+13+10"/>
        <s v="4+13+12"/>
        <s v="6+13.5"/>
        <s v="GAME"/>
        <s v="餐馆"/>
        <n v="10"/>
        <s v="4+11.5+10"/>
        <s v="4+12+12"/>
        <s v="4.5+13+13"/>
        <s v="4+11+11"/>
        <s v="诚学信付"/>
        <s v="4+12+10"/>
        <s v="4.5+12+11"/>
        <s v="12+12"/>
        <s v="5+10+13"/>
        <s v="骑行卡"/>
        <s v="6+9.5+10"/>
        <s v="5+15+12"/>
        <s v="4+10+11"/>
        <s v="10+6"/>
        <s v="图纸"/>
        <s v="团建"/>
        <s v="4.5+3+9+13"/>
        <s v="3.5+8.5+12+5"/>
        <s v="5+9+8.5"/>
        <s v="3+1.8+10"/>
      </sharedItems>
    </cacheField>
    <cacheField name="金额" numFmtId="178">
      <sharedItems containsSemiMixedTypes="0" containsString="0" containsNumber="1" minValue="0.6" maxValue="372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448.570566087961" createdVersion="8" refreshedVersion="8" minRefreshableVersion="3" recordCount="48" xr:uid="{8EE7C777-E787-4C64-8E51-F5323EEC149C}">
  <cacheSource type="worksheet">
    <worksheetSource ref="A3:F51" sheet="Sheet39"/>
  </cacheSource>
  <cacheFields count="6">
    <cacheField name="日期" numFmtId="179">
      <sharedItems containsNonDate="0" containsDate="1" containsString="0" containsBlank="1" minDate="2024-05-01T00:00:00" maxDate="2024-06-01T00:00:00"/>
    </cacheField>
    <cacheField name="星期" numFmtId="0">
      <sharedItems containsBlank="1"/>
    </cacheField>
    <cacheField name="收/支" numFmtId="0">
      <sharedItems/>
    </cacheField>
    <cacheField name="类型" numFmtId="0">
      <sharedItems count="4">
        <s v="生活"/>
        <s v="饮食"/>
        <s v="学习"/>
        <s v="特别立项"/>
      </sharedItems>
    </cacheField>
    <cacheField name="详细" numFmtId="0">
      <sharedItems containsBlank="1" containsMixedTypes="1" containsNumber="1" containsInteger="1" minValue="200" maxValue="200"/>
    </cacheField>
    <cacheField name="金额" numFmtId="178">
      <sharedItems containsString="0" containsBlank="1" containsNumber="1" minValue="0.5" maxValue="372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568.42403425926" createdVersion="8" refreshedVersion="8" minRefreshableVersion="3" recordCount="49" xr:uid="{ED449DAC-6152-4342-A5A9-6E11380D472F}">
  <cacheSource type="worksheet">
    <worksheetSource ref="A3:F52" sheet="Sheet40"/>
  </cacheSource>
  <cacheFields count="6">
    <cacheField name="日期" numFmtId="14">
      <sharedItems containsNonDate="0" containsDate="1" containsString="0" containsBlank="1" minDate="2024-06-01T00:00:00" maxDate="2024-07-01T00:00:00"/>
    </cacheField>
    <cacheField name="星期" numFmtId="0">
      <sharedItems containsBlank="1"/>
    </cacheField>
    <cacheField name="收/支" numFmtId="0">
      <sharedItems/>
    </cacheField>
    <cacheField name="类型" numFmtId="0">
      <sharedItems count="4">
        <s v="学习"/>
        <s v="生活"/>
        <s v="饮食"/>
        <s v="特别立项"/>
      </sharedItems>
    </cacheField>
    <cacheField name="详细" numFmtId="0">
      <sharedItems containsMixedTypes="1" containsNumber="1" containsInteger="1" minValue="5" maxValue="5"/>
    </cacheField>
    <cacheField name="金额" numFmtId="178">
      <sharedItems containsString="0" containsBlank="1" containsNumber="1" minValue="0.2" maxValue="372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568.449117592594" createdVersion="8" refreshedVersion="8" minRefreshableVersion="3" recordCount="52" xr:uid="{FF1EA928-E05C-49C8-9DED-DFAF77C458B0}">
  <cacheSource type="worksheet">
    <worksheetSource ref="A3:F55" sheet="Sheet42"/>
  </cacheSource>
  <cacheFields count="6">
    <cacheField name="日期" numFmtId="14">
      <sharedItems containsNonDate="0" containsDate="1" containsString="0" containsBlank="1" minDate="2024-07-01T00:00:00" maxDate="2024-08-01T00:00:00"/>
    </cacheField>
    <cacheField name="星期" numFmtId="0">
      <sharedItems containsBlank="1"/>
    </cacheField>
    <cacheField name="收/支" numFmtId="0">
      <sharedItems/>
    </cacheField>
    <cacheField name="类型" numFmtId="0">
      <sharedItems containsBlank="1" count="5">
        <s v="饮食"/>
        <s v="生活"/>
        <m/>
        <s v="学习"/>
        <s v="特别立项"/>
      </sharedItems>
    </cacheField>
    <cacheField name="详细" numFmtId="0">
      <sharedItems containsBlank="1" containsMixedTypes="1" containsNumber="1" minValue="4.5" maxValue="15"/>
    </cacheField>
    <cacheField name="金额" numFmtId="178">
      <sharedItems containsString="0" containsBlank="1" containsNumber="1" minValue="0.5" maxValue="8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568.483709722219" createdVersion="8" refreshedVersion="8" minRefreshableVersion="3" recordCount="57" xr:uid="{BD9F8004-C6DA-47D9-8BF5-E4E015132928}">
  <cacheSource type="worksheet">
    <worksheetSource ref="A3:F60" sheet="Sheet41"/>
  </cacheSource>
  <cacheFields count="6">
    <cacheField name="日期" numFmtId="14">
      <sharedItems containsNonDate="0" containsDate="1" containsString="0" containsBlank="1" minDate="2024-08-01T00:00:00" maxDate="2024-09-01T00:00:00"/>
    </cacheField>
    <cacheField name="星期" numFmtId="0">
      <sharedItems containsBlank="1"/>
    </cacheField>
    <cacheField name="收/支" numFmtId="0">
      <sharedItems containsBlank="1"/>
    </cacheField>
    <cacheField name="类型" numFmtId="0">
      <sharedItems containsBlank="1" count="6">
        <s v="饮食"/>
        <s v="生活"/>
        <s v="学习"/>
        <m/>
        <s v="外务"/>
        <s v="特别立项"/>
      </sharedItems>
    </cacheField>
    <cacheField name="详细" numFmtId="0">
      <sharedItems containsBlank="1" containsMixedTypes="1" containsNumber="1" minValue="5.9" maxValue="13"/>
    </cacheField>
    <cacheField name="金额" numFmtId="178">
      <sharedItems containsString="0" containsBlank="1" containsNumber="1" minValue="0.5" maxValue="1116.16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d v="2024-01-01T00:00:00"/>
    <s v="MO"/>
    <s v="收"/>
    <x v="0"/>
    <s v="cyq群红包"/>
    <n v="-13.860000000000001"/>
    <n v="34"/>
    <n v="-13.860000000000001"/>
  </r>
  <r>
    <m/>
    <m/>
    <s v="支"/>
    <x v="0"/>
    <s v="cyq群红包 组织部群"/>
    <n v="20"/>
    <m/>
    <m/>
  </r>
  <r>
    <m/>
    <m/>
    <s v="支"/>
    <x v="1"/>
    <s v="交通"/>
    <n v="8"/>
    <m/>
    <m/>
  </r>
  <r>
    <m/>
    <m/>
    <s v="支"/>
    <x v="2"/>
    <n v="6"/>
    <n v="6"/>
    <m/>
    <m/>
  </r>
  <r>
    <d v="2024-01-02T00:00:00"/>
    <s v="TU"/>
    <s v="支"/>
    <x v="2"/>
    <s v="3+10+12"/>
    <n v="25"/>
    <n v="25"/>
    <m/>
  </r>
  <r>
    <d v="2024-01-03T00:00:00"/>
    <s v="WE"/>
    <s v="支"/>
    <x v="2"/>
    <s v="3+10+12"/>
    <n v="25"/>
    <n v="25"/>
    <m/>
  </r>
  <r>
    <d v="2024-01-04T00:00:00"/>
    <s v="TH"/>
    <s v="支"/>
    <x v="2"/>
    <s v="3+10+12"/>
    <n v="25"/>
    <n v="27.25"/>
    <m/>
  </r>
  <r>
    <m/>
    <m/>
    <s v="支"/>
    <x v="2"/>
    <s v="桶装水合资"/>
    <n v="2.25"/>
    <m/>
    <m/>
  </r>
  <r>
    <d v="2024-01-05T00:00:00"/>
    <s v="FR"/>
    <s v="支"/>
    <x v="2"/>
    <s v="5+12+12"/>
    <n v="29"/>
    <n v="73.900000000000006"/>
    <m/>
  </r>
  <r>
    <m/>
    <m/>
    <s v="支"/>
    <x v="3"/>
    <s v="三个课本"/>
    <n v="35"/>
    <m/>
    <m/>
  </r>
  <r>
    <m/>
    <m/>
    <s v="支"/>
    <x v="1"/>
    <s v="哈喽出行"/>
    <n v="9.9"/>
    <m/>
    <m/>
  </r>
  <r>
    <d v="2024-01-06T00:00:00"/>
    <s v="SA"/>
    <s v="支"/>
    <x v="2"/>
    <s v="3+14+11"/>
    <n v="28"/>
    <n v="28"/>
    <m/>
  </r>
  <r>
    <d v="2024-01-07T00:00:00"/>
    <s v="SU"/>
    <s v="支"/>
    <x v="2"/>
    <s v="3+12+12"/>
    <n v="27"/>
    <n v="27"/>
    <m/>
  </r>
  <r>
    <d v="2024-01-08T00:00:00"/>
    <s v="MO"/>
    <s v="支"/>
    <x v="2"/>
    <s v="3+12+12"/>
    <n v="27"/>
    <n v="80.740000000000009"/>
    <m/>
  </r>
  <r>
    <m/>
    <m/>
    <s v="支"/>
    <x v="2"/>
    <s v="桶装水合资"/>
    <n v="2.25"/>
    <m/>
    <m/>
  </r>
  <r>
    <m/>
    <m/>
    <s v="支"/>
    <x v="1"/>
    <s v="哈喽出行"/>
    <n v="1.5"/>
    <m/>
    <m/>
  </r>
  <r>
    <m/>
    <m/>
    <s v="支"/>
    <x v="1"/>
    <s v="话费29.99+20"/>
    <n v="49.99"/>
    <m/>
    <s v="已核算"/>
  </r>
  <r>
    <d v="2024-01-09T00:00:00"/>
    <s v="TU"/>
    <s v="支"/>
    <x v="2"/>
    <s v="3+14+12"/>
    <n v="29"/>
    <n v="29"/>
    <m/>
  </r>
  <r>
    <d v="2024-01-10T00:00:00"/>
    <s v="WE"/>
    <s v="支"/>
    <x v="2"/>
    <s v="3+12+12"/>
    <n v="27"/>
    <n v="34"/>
    <m/>
  </r>
  <r>
    <m/>
    <m/>
    <s v="支"/>
    <x v="1"/>
    <s v="咸话梅"/>
    <n v="7"/>
    <m/>
    <m/>
  </r>
  <r>
    <d v="2024-01-11T00:00:00"/>
    <s v="TH"/>
    <s v="支"/>
    <x v="2"/>
    <s v="3+14+12"/>
    <n v="29"/>
    <n v="29"/>
    <m/>
  </r>
  <r>
    <d v="2024-01-12T00:00:00"/>
    <s v="FR"/>
    <s v="支"/>
    <x v="1"/>
    <s v="理发"/>
    <n v="20"/>
    <n v="36"/>
    <m/>
  </r>
  <r>
    <m/>
    <m/>
    <s v="支"/>
    <x v="2"/>
    <s v="3+13"/>
    <n v="16"/>
    <m/>
    <m/>
  </r>
  <r>
    <d v="2024-01-14T00:00:00"/>
    <s v="SA"/>
    <s v="支"/>
    <x v="3"/>
    <s v="51单片机"/>
    <n v="66.5"/>
    <n v="124.67"/>
    <n v="-100"/>
  </r>
  <r>
    <m/>
    <m/>
    <s v="支"/>
    <x v="1"/>
    <s v="生病"/>
    <n v="58.17"/>
    <m/>
    <m/>
  </r>
  <r>
    <m/>
    <m/>
    <s v="收"/>
    <x v="1"/>
    <s v="MA 100"/>
    <n v="-100"/>
    <m/>
    <m/>
  </r>
  <r>
    <d v="2024-01-18T00:00:00"/>
    <s v="SU"/>
    <s v="支"/>
    <x v="1"/>
    <s v="矿泉水"/>
    <n v="2"/>
    <n v="20"/>
    <m/>
  </r>
  <r>
    <m/>
    <m/>
    <s v="支"/>
    <x v="1"/>
    <s v="交通"/>
    <n v="18"/>
    <m/>
    <m/>
  </r>
  <r>
    <d v="2024-01-19T00:00:00"/>
    <s v="MO"/>
    <s v="支"/>
    <x v="4"/>
    <s v="原画 诚学信付"/>
    <n v="372.07"/>
    <n v="372.07"/>
    <s v="已核算"/>
  </r>
  <r>
    <d v="2024-01-24T00:00:00"/>
    <s v="TU"/>
    <s v="支"/>
    <x v="3"/>
    <s v="C语言"/>
    <n v="29.59"/>
    <n v="29.59"/>
    <m/>
  </r>
  <r>
    <d v="2024-01-26T00:00:00"/>
    <s v="WE"/>
    <s v="收"/>
    <x v="1"/>
    <s v="MA 100"/>
    <n v="-100"/>
    <n v="32.08"/>
    <n v="-100"/>
  </r>
  <r>
    <m/>
    <m/>
    <s v="支"/>
    <x v="1"/>
    <s v="接送弟"/>
    <n v="32.08"/>
    <m/>
    <m/>
  </r>
  <r>
    <d v="2024-01-27T00:00:00"/>
    <s v="SA"/>
    <s v="支"/>
    <x v="1"/>
    <s v="买菜"/>
    <n v="31.8"/>
    <n v="31.8"/>
    <m/>
  </r>
  <r>
    <d v="2024-01-29T00:00:00"/>
    <s v="MO"/>
    <s v="支"/>
    <x v="3"/>
    <s v="笔芯 草稿 笔"/>
    <n v="29.490000000000002"/>
    <n v="29.490000000000002"/>
    <n v="-9.64"/>
  </r>
  <r>
    <m/>
    <m/>
    <s v="收"/>
    <x v="1"/>
    <s v="拼多多抽奖"/>
    <n v="0.6399999999999999"/>
    <m/>
    <m/>
  </r>
  <r>
    <m/>
    <m/>
    <s v="收"/>
    <x v="1"/>
    <s v="卖废品"/>
    <n v="9"/>
    <m/>
    <m/>
  </r>
  <r>
    <d v="2024-01-30T00:00:00"/>
    <s v="TU"/>
    <s v="支"/>
    <x v="1"/>
    <s v="买菜"/>
    <n v="8.6"/>
    <n v="8.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x v="0"/>
    <s v="市场买菜"/>
    <n v="22.2"/>
  </r>
  <r>
    <x v="0"/>
    <x v="0"/>
    <s v="买菜"/>
    <n v="4"/>
  </r>
  <r>
    <x v="0"/>
    <x v="0"/>
    <s v="带弟大学城 餐费38+餐饮14 +水4.20"/>
    <n v="56.2"/>
  </r>
  <r>
    <x v="1"/>
    <x v="0"/>
    <s v="BA 500"/>
    <m/>
  </r>
  <r>
    <x v="0"/>
    <x v="0"/>
    <s v="打车哈喽四人东莞广州"/>
    <n v="180.4"/>
  </r>
  <r>
    <x v="1"/>
    <x v="1"/>
    <s v="Stephanie66.06 何善波2.88 张林2.88 尹常有4.62 红包"/>
    <m/>
  </r>
  <r>
    <x v="0"/>
    <x v="1"/>
    <s v="红包高中宿舍群8 部门群12"/>
    <n v="20"/>
  </r>
  <r>
    <x v="0"/>
    <x v="0"/>
    <s v="卡一20 卡二30"/>
    <n v="50"/>
  </r>
  <r>
    <x v="1"/>
    <x v="1"/>
    <s v="组织部三师姐0.08+1.35+0.58 自己收回2.27+1.92+0.88+0.66"/>
    <m/>
  </r>
  <r>
    <x v="0"/>
    <x v="0"/>
    <s v="深圳广州高铁二人+打车"/>
    <n v="179.07999999999998"/>
  </r>
  <r>
    <x v="0"/>
    <x v="0"/>
    <s v="哈喽共享单车"/>
    <n v="6.6"/>
  </r>
  <r>
    <x v="1"/>
    <x v="0"/>
    <s v="陈洋舅舅"/>
    <m/>
  </r>
  <r>
    <x v="0"/>
    <x v="0"/>
    <s v="2/1至2/14 交通20+20+20+非自己卡50"/>
    <n v="90"/>
  </r>
  <r>
    <x v="0"/>
    <x v="0"/>
    <s v="中药玄参"/>
    <n v="5"/>
  </r>
  <r>
    <x v="0"/>
    <x v="2"/>
    <s v="原画"/>
    <n v="372.07"/>
  </r>
  <r>
    <x v="0"/>
    <x v="0"/>
    <s v="交通"/>
    <n v="20"/>
  </r>
  <r>
    <x v="0"/>
    <x v="0"/>
    <s v="水"/>
    <n v="3"/>
  </r>
  <r>
    <x v="0"/>
    <x v="1"/>
    <s v="饮料二瓶加塑料杯"/>
    <n v="21"/>
  </r>
  <r>
    <x v="0"/>
    <x v="0"/>
    <s v="哈喽打车"/>
    <n v="28.54"/>
  </r>
  <r>
    <x v="0"/>
    <x v="0"/>
    <s v="交通"/>
    <n v="7"/>
  </r>
  <r>
    <x v="0"/>
    <x v="0"/>
    <s v="买菜"/>
    <n v="18.52"/>
  </r>
  <r>
    <x v="0"/>
    <x v="0"/>
    <s v="电脑主板"/>
    <n v="118"/>
  </r>
  <r>
    <x v="0"/>
    <x v="0"/>
    <s v="交通"/>
    <n v="6.4"/>
  </r>
  <r>
    <x v="0"/>
    <x v="0"/>
    <s v="矿泉水"/>
    <n v="6"/>
  </r>
  <r>
    <x v="0"/>
    <x v="3"/>
    <s v="6+18+13"/>
    <n v="37"/>
  </r>
  <r>
    <x v="0"/>
    <x v="0"/>
    <s v="DD订水"/>
    <n v="2.25"/>
  </r>
  <r>
    <x v="0"/>
    <x v="4"/>
    <s v="教材"/>
    <n v="10.66"/>
  </r>
  <r>
    <x v="0"/>
    <x v="3"/>
    <s v="10+10+3"/>
    <n v="23"/>
  </r>
  <r>
    <x v="0"/>
    <x v="0"/>
    <s v="宿舍外出62.37+15"/>
    <n v="77.34"/>
  </r>
  <r>
    <x v="0"/>
    <x v="0"/>
    <s v="交通"/>
    <n v="18"/>
  </r>
  <r>
    <x v="0"/>
    <x v="3"/>
    <n v="12"/>
    <n v="12"/>
  </r>
  <r>
    <x v="0"/>
    <x v="3"/>
    <s v="3+14+14"/>
    <n v="31"/>
  </r>
  <r>
    <x v="0"/>
    <x v="4"/>
    <s v="51单片机书英语六级"/>
    <n v="33.799999999999997"/>
  </r>
  <r>
    <x v="0"/>
    <x v="3"/>
    <s v="3+10+12"/>
    <n v="25"/>
  </r>
  <r>
    <x v="1"/>
    <x v="4"/>
    <s v="教材退款"/>
    <m/>
  </r>
  <r>
    <x v="0"/>
    <x v="3"/>
    <s v="3+10+31.8"/>
    <n v="44.8"/>
  </r>
  <r>
    <x v="0"/>
    <x v="4"/>
    <s v="工程制图"/>
    <n v="20"/>
  </r>
  <r>
    <x v="0"/>
    <x v="4"/>
    <s v="教材"/>
    <n v="8.9"/>
  </r>
  <r>
    <x v="0"/>
    <x v="3"/>
    <s v="3+10+12"/>
    <n v="25"/>
  </r>
  <r>
    <x v="1"/>
    <x v="0"/>
    <s v="周三饮食31.8合资补退"/>
    <m/>
  </r>
  <r>
    <x v="0"/>
    <x v="0"/>
    <s v="DD订水"/>
    <n v="2.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d v="2024-03-01T00:00:00"/>
    <s v="FR"/>
    <s v="支"/>
    <x v="0"/>
    <s v="3+10+12"/>
    <n v="25"/>
  </r>
  <r>
    <d v="2024-03-02T00:00:00"/>
    <s v="SA"/>
    <s v="支"/>
    <x v="0"/>
    <s v="3.5+10"/>
    <n v="13.5"/>
  </r>
  <r>
    <m/>
    <m/>
    <s v="支"/>
    <x v="1"/>
    <s v="拼多多购物"/>
    <n v="6.4"/>
  </r>
  <r>
    <d v="2024-03-03T00:00:00"/>
    <s v="SU"/>
    <s v="支"/>
    <x v="1"/>
    <s v="交通"/>
    <n v="16"/>
  </r>
  <r>
    <m/>
    <m/>
    <s v="支"/>
    <x v="1"/>
    <s v="电脑维修10+40+330"/>
    <n v="380"/>
  </r>
  <r>
    <d v="2024-03-04T00:00:00"/>
    <s v="MO"/>
    <s v="支"/>
    <x v="0"/>
    <s v="3+10+13"/>
    <n v="26"/>
  </r>
  <r>
    <d v="2024-03-05T00:00:00"/>
    <s v="TU"/>
    <s v="支"/>
    <x v="0"/>
    <s v="3+10+10"/>
    <n v="23"/>
  </r>
  <r>
    <m/>
    <m/>
    <s v="支"/>
    <x v="1"/>
    <s v="DD订水"/>
    <n v="2.25"/>
  </r>
  <r>
    <m/>
    <m/>
    <s v="收"/>
    <x v="1"/>
    <s v="电脑主板退款"/>
    <m/>
  </r>
  <r>
    <d v="2024-03-06T00:00:00"/>
    <s v="WE"/>
    <s v="支"/>
    <x v="0"/>
    <s v="3+14+11"/>
    <n v="28"/>
  </r>
  <r>
    <m/>
    <m/>
    <s v="支"/>
    <x v="2"/>
    <s v="welearn"/>
    <n v="50"/>
  </r>
  <r>
    <d v="2024-03-07T00:00:00"/>
    <s v="TH"/>
    <s v="支"/>
    <x v="0"/>
    <s v="3+10+12"/>
    <n v="25"/>
  </r>
  <r>
    <d v="2024-03-08T00:00:00"/>
    <s v="FR"/>
    <s v="支"/>
    <x v="0"/>
    <s v="3.5+10+12"/>
    <n v="25.5"/>
  </r>
  <r>
    <d v="2024-03-09T00:00:00"/>
    <s v="SA"/>
    <s v="支"/>
    <x v="0"/>
    <s v="3+10+12"/>
    <n v="25"/>
  </r>
  <r>
    <d v="2024-03-10T00:00:00"/>
    <s v="SU"/>
    <s v="支"/>
    <x v="0"/>
    <s v="3+14+11"/>
    <n v="28"/>
  </r>
  <r>
    <m/>
    <m/>
    <s v="支"/>
    <x v="1"/>
    <s v="DD订水"/>
    <n v="2.25"/>
  </r>
  <r>
    <d v="2024-03-11T00:00:00"/>
    <s v="MO"/>
    <s v="支"/>
    <x v="0"/>
    <s v="3+17+12"/>
    <n v="32"/>
  </r>
  <r>
    <d v="2024-03-12T00:00:00"/>
    <s v="TU"/>
    <s v="支"/>
    <x v="0"/>
    <s v="3+12+12.9"/>
    <n v="27.9"/>
  </r>
  <r>
    <d v="2024-03-13T00:00:00"/>
    <s v="WE"/>
    <s v="支"/>
    <x v="0"/>
    <s v="3+10.5+12"/>
    <n v="25.5"/>
  </r>
  <r>
    <d v="2024-03-14T00:00:00"/>
    <s v="TH"/>
    <s v="支"/>
    <x v="0"/>
    <s v="3+10+13"/>
    <n v="26"/>
  </r>
  <r>
    <d v="2024-03-15T00:00:00"/>
    <s v="FR"/>
    <s v="支"/>
    <x v="0"/>
    <s v="3.5+11.5+12"/>
    <n v="27"/>
  </r>
  <r>
    <d v="2024-03-16T00:00:00"/>
    <s v="SA"/>
    <s v="支"/>
    <x v="0"/>
    <s v="5+34+2.84"/>
    <n v="41.84"/>
  </r>
  <r>
    <m/>
    <m/>
    <s v="支"/>
    <x v="1"/>
    <s v="交通"/>
    <n v="18.600000000000001"/>
  </r>
  <r>
    <m/>
    <m/>
    <s v="支"/>
    <x v="1"/>
    <s v="DD订水"/>
    <n v="2.25"/>
  </r>
  <r>
    <m/>
    <m/>
    <s v="支"/>
    <x v="1"/>
    <s v="打印"/>
    <n v="1"/>
  </r>
  <r>
    <d v="2024-03-17T00:00:00"/>
    <s v="SU"/>
    <s v="支"/>
    <x v="1"/>
    <s v="交通"/>
    <n v="7"/>
  </r>
  <r>
    <m/>
    <m/>
    <s v="支"/>
    <x v="0"/>
    <s v="9+1.90"/>
    <n v="10.9"/>
  </r>
  <r>
    <m/>
    <m/>
    <s v="支"/>
    <x v="3"/>
    <s v="原画"/>
    <n v="372.07"/>
  </r>
  <r>
    <m/>
    <m/>
    <s v="支"/>
    <x v="4"/>
    <s v="饮料和水"/>
    <n v="13.85"/>
  </r>
  <r>
    <d v="2024-03-18T00:00:00"/>
    <s v="MO"/>
    <s v="支"/>
    <x v="0"/>
    <s v="3+13+14"/>
    <n v="30"/>
  </r>
  <r>
    <d v="2024-03-19T00:00:00"/>
    <s v="TU"/>
    <s v="支"/>
    <x v="0"/>
    <s v="3+10+12"/>
    <n v="25"/>
  </r>
  <r>
    <m/>
    <m/>
    <s v="支"/>
    <x v="1"/>
    <s v="中国移动"/>
    <n v="30"/>
  </r>
  <r>
    <d v="2024-03-20T00:00:00"/>
    <s v="WE"/>
    <s v="支"/>
    <x v="1"/>
    <s v="3+10+12"/>
    <n v="25"/>
  </r>
  <r>
    <d v="2024-03-21T00:00:00"/>
    <s v="TH"/>
    <s v="支"/>
    <x v="0"/>
    <s v="3.5+12+11"/>
    <n v="26.5"/>
  </r>
  <r>
    <m/>
    <m/>
    <s v="支"/>
    <x v="1"/>
    <s v="DD订水"/>
    <n v="2.25"/>
  </r>
  <r>
    <m/>
    <m/>
    <s v="支"/>
    <x v="2"/>
    <s v="图纸"/>
    <n v="0.6"/>
  </r>
  <r>
    <d v="2024-03-22T00:00:00"/>
    <s v="FR"/>
    <s v="支"/>
    <x v="0"/>
    <s v="3.5+12+8.89"/>
    <n v="24.39"/>
  </r>
  <r>
    <d v="2024-02-23T00:00:00"/>
    <s v="SA"/>
    <s v="支"/>
    <x v="0"/>
    <s v="3+11+13"/>
    <n v="27"/>
  </r>
  <r>
    <m/>
    <m/>
    <s v="支"/>
    <x v="1"/>
    <s v="网费四个月"/>
    <n v="30"/>
  </r>
  <r>
    <m/>
    <m/>
    <s v="支"/>
    <x v="1"/>
    <s v="交通"/>
    <n v="10"/>
  </r>
  <r>
    <d v="2024-02-24T00:00:00"/>
    <s v="SU"/>
    <s v="支"/>
    <x v="1"/>
    <s v="交通"/>
    <n v="10"/>
  </r>
  <r>
    <m/>
    <m/>
    <s v="支"/>
    <x v="0"/>
    <n v="9.89"/>
    <n v="9.89"/>
  </r>
  <r>
    <d v="2024-03-25T00:00:00"/>
    <s v="MO"/>
    <s v="支"/>
    <x v="0"/>
    <s v="3+11+13.5"/>
    <n v="27.5"/>
  </r>
  <r>
    <d v="2024-03-26T00:00:00"/>
    <s v="TU"/>
    <s v="支"/>
    <x v="0"/>
    <s v="3.5+12+10"/>
    <n v="25.5"/>
  </r>
  <r>
    <m/>
    <m/>
    <s v="支"/>
    <x v="1"/>
    <s v="DD订水"/>
    <n v="2.25"/>
  </r>
  <r>
    <d v="2024-03-27T00:00:00"/>
    <s v="WE"/>
    <s v="支"/>
    <x v="0"/>
    <s v="5+10+9"/>
    <n v="24"/>
  </r>
  <r>
    <m/>
    <m/>
    <s v="支"/>
    <x v="2"/>
    <s v="六级英语"/>
    <n v="36"/>
  </r>
  <r>
    <d v="2024-03-28T00:00:00"/>
    <s v="TH"/>
    <s v="支"/>
    <x v="0"/>
    <s v="3+10.5+12"/>
    <n v="25.5"/>
  </r>
  <r>
    <d v="2024-03-29T00:00:00"/>
    <s v="FR"/>
    <s v="支"/>
    <x v="0"/>
    <s v="3.5+12+12"/>
    <n v="27.5"/>
  </r>
  <r>
    <d v="2024-03-30T00:00:00"/>
    <s v="SA"/>
    <s v="支"/>
    <x v="0"/>
    <s v="5+10+10.5"/>
    <n v="25.5"/>
  </r>
  <r>
    <m/>
    <m/>
    <s v="支"/>
    <x v="1"/>
    <s v="话费"/>
    <n v="10"/>
  </r>
  <r>
    <d v="2024-03-31T00:00:00"/>
    <s v="SU"/>
    <s v="支"/>
    <x v="1"/>
    <s v="交通"/>
    <n v="19.27"/>
  </r>
  <r>
    <m/>
    <m/>
    <s v="支"/>
    <x v="0"/>
    <s v="5+9+12"/>
    <n v="2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d v="2024-04-01T00:00:00"/>
    <s v="MO"/>
    <s v="支"/>
    <x v="0"/>
    <x v="0"/>
    <n v="23"/>
  </r>
  <r>
    <d v="2024-04-02T00:00:00"/>
    <s v="TU"/>
    <s v="支"/>
    <x v="0"/>
    <x v="1"/>
    <n v="26.5"/>
  </r>
  <r>
    <m/>
    <m/>
    <s v="支"/>
    <x v="1"/>
    <x v="2"/>
    <n v="10"/>
  </r>
  <r>
    <m/>
    <m/>
    <s v="支"/>
    <x v="1"/>
    <x v="3"/>
    <n v="40"/>
  </r>
  <r>
    <m/>
    <m/>
    <s v="支"/>
    <x v="2"/>
    <x v="4"/>
    <n v="2.25"/>
  </r>
  <r>
    <d v="2024-04-03T00:00:00"/>
    <s v="WE"/>
    <s v="支"/>
    <x v="0"/>
    <x v="5"/>
    <n v="25.8"/>
  </r>
  <r>
    <m/>
    <m/>
    <s v="支"/>
    <x v="2"/>
    <x v="6"/>
    <n v="10"/>
  </r>
  <r>
    <m/>
    <m/>
    <s v="支"/>
    <x v="2"/>
    <x v="4"/>
    <n v="2.25"/>
  </r>
  <r>
    <d v="2024-04-06T00:00:00"/>
    <s v="SA"/>
    <s v="支"/>
    <x v="0"/>
    <x v="7"/>
    <n v="21"/>
  </r>
  <r>
    <m/>
    <m/>
    <s v="支"/>
    <x v="2"/>
    <x v="6"/>
    <n v="7"/>
  </r>
  <r>
    <d v="2024-04-07T00:00:00"/>
    <s v="SU"/>
    <s v="支"/>
    <x v="2"/>
    <x v="8"/>
    <n v="40"/>
  </r>
  <r>
    <m/>
    <m/>
    <s v="支"/>
    <x v="2"/>
    <x v="9"/>
    <n v="20.239999999999998"/>
  </r>
  <r>
    <m/>
    <m/>
    <s v="支"/>
    <x v="0"/>
    <x v="10"/>
    <n v="27.5"/>
  </r>
  <r>
    <d v="2024-04-08T00:00:00"/>
    <s v="MO"/>
    <s v="支"/>
    <x v="0"/>
    <x v="11"/>
    <n v="28.5"/>
  </r>
  <r>
    <d v="2024-04-09T00:00:00"/>
    <s v="TU"/>
    <s v="支"/>
    <x v="0"/>
    <x v="12"/>
    <n v="26.5"/>
  </r>
  <r>
    <m/>
    <m/>
    <s v="支"/>
    <x v="2"/>
    <x v="4"/>
    <n v="2.25"/>
  </r>
  <r>
    <d v="2024-04-10T00:00:00"/>
    <s v="WE"/>
    <s v="支"/>
    <x v="0"/>
    <x v="13"/>
    <n v="26"/>
  </r>
  <r>
    <m/>
    <m/>
    <s v="支"/>
    <x v="1"/>
    <x v="14"/>
    <n v="3.08"/>
  </r>
  <r>
    <d v="2024-04-11T00:00:00"/>
    <s v="TH"/>
    <s v="支"/>
    <x v="0"/>
    <x v="15"/>
    <n v="25.5"/>
  </r>
  <r>
    <d v="2024-04-12T00:00:00"/>
    <s v="FR"/>
    <s v="支"/>
    <x v="0"/>
    <x v="16"/>
    <n v="29"/>
  </r>
  <r>
    <d v="2024-04-13T00:00:00"/>
    <s v="SA"/>
    <s v="支"/>
    <x v="0"/>
    <x v="17"/>
    <n v="19.5"/>
  </r>
  <r>
    <m/>
    <m/>
    <s v="支"/>
    <x v="2"/>
    <x v="6"/>
    <n v="8"/>
  </r>
  <r>
    <m/>
    <m/>
    <s v="支"/>
    <x v="2"/>
    <x v="18"/>
    <n v="29.7"/>
  </r>
  <r>
    <d v="2024-04-14T00:00:00"/>
    <s v="SU"/>
    <s v="支"/>
    <x v="2"/>
    <x v="6"/>
    <n v="12"/>
  </r>
  <r>
    <m/>
    <m/>
    <s v="支"/>
    <x v="2"/>
    <x v="19"/>
    <n v="50"/>
  </r>
  <r>
    <m/>
    <m/>
    <s v="支"/>
    <x v="0"/>
    <x v="20"/>
    <n v="10"/>
  </r>
  <r>
    <m/>
    <m/>
    <s v="支"/>
    <x v="2"/>
    <x v="4"/>
    <n v="2.25"/>
  </r>
  <r>
    <d v="2024-04-15T00:00:00"/>
    <s v="MO"/>
    <s v="支"/>
    <x v="0"/>
    <x v="21"/>
    <n v="25.5"/>
  </r>
  <r>
    <d v="2024-04-16T00:00:00"/>
    <s v="TU"/>
    <s v="支"/>
    <x v="0"/>
    <x v="22"/>
    <n v="28"/>
  </r>
  <r>
    <d v="2024-04-17T00:00:00"/>
    <s v="WE"/>
    <s v="支"/>
    <x v="0"/>
    <x v="23"/>
    <n v="30.5"/>
  </r>
  <r>
    <d v="2024-04-18T00:00:00"/>
    <s v="TH"/>
    <s v="支"/>
    <x v="0"/>
    <x v="24"/>
    <n v="26"/>
  </r>
  <r>
    <m/>
    <m/>
    <s v="支"/>
    <x v="2"/>
    <x v="4"/>
    <n v="2.25"/>
  </r>
  <r>
    <m/>
    <m/>
    <s v="支"/>
    <x v="3"/>
    <x v="25"/>
    <n v="372.07"/>
  </r>
  <r>
    <d v="2024-04-19T00:00:00"/>
    <s v="FR"/>
    <s v="支"/>
    <x v="0"/>
    <x v="26"/>
    <n v="26"/>
  </r>
  <r>
    <d v="2024-04-20T00:00:00"/>
    <s v="SA"/>
    <s v="支"/>
    <x v="0"/>
    <x v="27"/>
    <n v="27.5"/>
  </r>
  <r>
    <d v="2024-04-21T00:00:00"/>
    <s v="SU"/>
    <s v="支"/>
    <x v="0"/>
    <x v="28"/>
    <n v="24"/>
  </r>
  <r>
    <d v="2024-04-22T00:00:00"/>
    <s v="MO"/>
    <s v="支"/>
    <x v="0"/>
    <x v="29"/>
    <n v="28"/>
  </r>
  <r>
    <d v="2024-04-23T00:00:00"/>
    <s v="TU"/>
    <s v="支"/>
    <x v="2"/>
    <x v="30"/>
    <n v="9.89"/>
  </r>
  <r>
    <m/>
    <m/>
    <s v="支"/>
    <x v="0"/>
    <x v="31"/>
    <n v="25.5"/>
  </r>
  <r>
    <d v="2024-04-24T00:00:00"/>
    <s v="WE"/>
    <s v="支"/>
    <x v="0"/>
    <x v="32"/>
    <n v="32"/>
  </r>
  <r>
    <d v="2024-04-25T00:00:00"/>
    <s v="TH"/>
    <s v="支"/>
    <x v="0"/>
    <x v="33"/>
    <n v="25"/>
  </r>
  <r>
    <m/>
    <m/>
    <s v="支"/>
    <x v="2"/>
    <x v="4"/>
    <n v="2.25"/>
  </r>
  <r>
    <d v="2024-04-26T00:00:00"/>
    <s v="FR"/>
    <s v="支"/>
    <x v="0"/>
    <x v="34"/>
    <n v="16"/>
  </r>
  <r>
    <m/>
    <m/>
    <s v="支"/>
    <x v="1"/>
    <x v="35"/>
    <n v="0.6"/>
  </r>
  <r>
    <m/>
    <m/>
    <s v="支"/>
    <x v="2"/>
    <x v="36"/>
    <n v="71.75"/>
  </r>
  <r>
    <m/>
    <m/>
    <s v="支"/>
    <x v="2"/>
    <x v="6"/>
    <n v="6"/>
  </r>
  <r>
    <d v="2024-04-27T00:00:00"/>
    <s v="SA"/>
    <s v="支"/>
    <x v="0"/>
    <x v="37"/>
    <n v="29.5"/>
  </r>
  <r>
    <d v="2024-04-28T00:00:00"/>
    <s v="SU"/>
    <s v="支"/>
    <x v="0"/>
    <x v="38"/>
    <n v="29"/>
  </r>
  <r>
    <d v="2024-04-29T00:00:00"/>
    <s v="MO"/>
    <s v="支"/>
    <x v="0"/>
    <x v="39"/>
    <n v="22.5"/>
  </r>
  <r>
    <d v="2024-04-30T00:00:00"/>
    <s v="TU"/>
    <s v="支"/>
    <x v="0"/>
    <x v="40"/>
    <n v="14.8"/>
  </r>
  <r>
    <m/>
    <m/>
    <s v="支"/>
    <x v="2"/>
    <x v="6"/>
    <n v="1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d v="2024-05-01T00:00:00"/>
    <s v="WE"/>
    <s v="收"/>
    <x v="0"/>
    <n v="200"/>
    <m/>
  </r>
  <r>
    <d v="2024-05-05T00:00:00"/>
    <s v="SU"/>
    <s v="支"/>
    <x v="0"/>
    <s v="交通"/>
    <n v="10"/>
  </r>
  <r>
    <m/>
    <m/>
    <s v="支"/>
    <x v="0"/>
    <s v="DD订水"/>
    <n v="2.25"/>
  </r>
  <r>
    <d v="2024-05-06T00:00:00"/>
    <s v="MO"/>
    <s v="支"/>
    <x v="1"/>
    <s v="3+13+11"/>
    <n v="27"/>
  </r>
  <r>
    <d v="2024-05-07T00:00:00"/>
    <s v="TU"/>
    <s v="支"/>
    <x v="1"/>
    <s v="4.5+9+5+12"/>
    <n v="30.5"/>
  </r>
  <r>
    <m/>
    <m/>
    <s v="支"/>
    <x v="2"/>
    <s v="设备"/>
    <n v="71.100000000000009"/>
  </r>
  <r>
    <d v="2024-05-08T00:00:00"/>
    <s v="WE"/>
    <s v="支"/>
    <x v="1"/>
    <s v="3+13+15"/>
    <n v="31"/>
  </r>
  <r>
    <d v="2024-05-09T00:00:00"/>
    <s v="TH"/>
    <s v="支"/>
    <x v="1"/>
    <s v="3+11"/>
    <n v="14"/>
  </r>
  <r>
    <m/>
    <m/>
    <s v="支"/>
    <x v="0"/>
    <s v="刘zehong"/>
    <n v="7"/>
  </r>
  <r>
    <m/>
    <m/>
    <s v="支"/>
    <x v="2"/>
    <s v="设备"/>
    <n v="9.9"/>
  </r>
  <r>
    <d v="2024-05-10T00:00:00"/>
    <s v="FR"/>
    <s v="支"/>
    <x v="1"/>
    <s v="5+9+10.5"/>
    <n v="24.5"/>
  </r>
  <r>
    <m/>
    <m/>
    <s v="支"/>
    <x v="0"/>
    <s v="话费"/>
    <n v="40"/>
  </r>
  <r>
    <m/>
    <m/>
    <s v="支"/>
    <x v="0"/>
    <s v="DD订水"/>
    <n v="2.25"/>
  </r>
  <r>
    <m/>
    <m/>
    <s v="支"/>
    <x v="1"/>
    <s v="2.5+8.5+8.5"/>
    <n v="19.5"/>
  </r>
  <r>
    <d v="2024-05-12T00:00:00"/>
    <s v="SA"/>
    <s v="支"/>
    <x v="1"/>
    <s v="3.5+1.8+10.5+8"/>
    <n v="23.8"/>
  </r>
  <r>
    <d v="2024-05-13T00:00:00"/>
    <s v="MO"/>
    <s v="支"/>
    <x v="1"/>
    <s v="3+13+12+50"/>
    <n v="33"/>
  </r>
  <r>
    <m/>
    <m/>
    <s v="支"/>
    <x v="2"/>
    <s v="图纸"/>
    <n v="0.6"/>
  </r>
  <r>
    <d v="2024-05-14T00:00:00"/>
    <s v="TU"/>
    <s v="支"/>
    <x v="1"/>
    <s v="3.5+10+10.5"/>
    <n v="24"/>
  </r>
  <r>
    <d v="2024-05-15T00:00:00"/>
    <s v="WE"/>
    <s v="支"/>
    <x v="1"/>
    <s v="4+14.5"/>
    <n v="18.5"/>
  </r>
  <r>
    <m/>
    <m/>
    <s v="支"/>
    <x v="2"/>
    <m/>
    <n v="5"/>
  </r>
  <r>
    <m/>
    <m/>
    <s v="支"/>
    <x v="0"/>
    <s v="DD订水"/>
    <n v="2.25"/>
  </r>
  <r>
    <d v="2024-05-16T00:00:00"/>
    <s v="TH"/>
    <s v="支"/>
    <x v="1"/>
    <s v="4+7.5+10.5"/>
    <n v="22"/>
  </r>
  <r>
    <m/>
    <m/>
    <s v="支"/>
    <x v="0"/>
    <s v="设备"/>
    <n v="9.1999999999999993"/>
  </r>
  <r>
    <d v="2024-05-17T00:00:00"/>
    <s v="FR"/>
    <s v="支"/>
    <x v="1"/>
    <s v="3+23.9+11+5"/>
    <n v="42.9"/>
  </r>
  <r>
    <d v="2024-05-18T00:00:00"/>
    <s v="SA"/>
    <s v="支"/>
    <x v="0"/>
    <s v="交通"/>
    <n v="12"/>
  </r>
  <r>
    <m/>
    <m/>
    <s v="支"/>
    <x v="1"/>
    <s v="6.5+10.5"/>
    <n v="17"/>
  </r>
  <r>
    <d v="2024-05-19T00:00:00"/>
    <s v="SU"/>
    <s v="支"/>
    <x v="0"/>
    <s v="丰巢"/>
    <n v="0.5"/>
  </r>
  <r>
    <m/>
    <m/>
    <s v="支"/>
    <x v="0"/>
    <s v="交通"/>
    <n v="10"/>
  </r>
  <r>
    <d v="2024-05-20T00:00:00"/>
    <s v="MO"/>
    <s v="支"/>
    <x v="1"/>
    <s v="4+14+11"/>
    <n v="29"/>
  </r>
  <r>
    <d v="2024-05-21T00:00:00"/>
    <s v="TU"/>
    <s v="支"/>
    <x v="1"/>
    <s v="4+11+10.5"/>
    <n v="25.5"/>
  </r>
  <r>
    <m/>
    <m/>
    <s v="支"/>
    <x v="0"/>
    <s v="DD订水"/>
    <n v="2.25"/>
  </r>
  <r>
    <d v="2024-05-22T00:00:00"/>
    <s v="WE"/>
    <s v="支"/>
    <x v="1"/>
    <s v="4+10.5+13"/>
    <n v="27.5"/>
  </r>
  <r>
    <d v="2024-05-23T00:00:00"/>
    <s v="TH"/>
    <s v="支"/>
    <x v="1"/>
    <s v="3+10.5+12.5"/>
    <n v="26"/>
  </r>
  <r>
    <m/>
    <m/>
    <s v="支"/>
    <x v="0"/>
    <s v="壁画"/>
    <n v="6.91"/>
  </r>
  <r>
    <d v="2024-05-24T00:00:00"/>
    <s v="FR"/>
    <s v="支"/>
    <x v="1"/>
    <s v="1+3.5+11+10+3"/>
    <n v="28.5"/>
  </r>
  <r>
    <d v="2024-05-25T00:00:00"/>
    <s v="SA"/>
    <s v="支"/>
    <x v="1"/>
    <s v="4+12+11"/>
    <n v="27"/>
  </r>
  <r>
    <m/>
    <m/>
    <s v="支"/>
    <x v="0"/>
    <s v="DD订水"/>
    <n v="2.25"/>
  </r>
  <r>
    <d v="2024-05-26T00:00:00"/>
    <s v="SU"/>
    <s v="支"/>
    <x v="1"/>
    <s v="4.5+13"/>
    <n v="17.5"/>
  </r>
  <r>
    <d v="2024-05-27T00:00:00"/>
    <s v="MO"/>
    <s v="支"/>
    <x v="1"/>
    <s v="4.5+11.7+12"/>
    <n v="28.2"/>
  </r>
  <r>
    <d v="2024-05-28T00:00:00"/>
    <s v="TU"/>
    <s v="支"/>
    <x v="1"/>
    <s v="4+12+10.5"/>
    <n v="26.5"/>
  </r>
  <r>
    <m/>
    <m/>
    <s v="支"/>
    <x v="0"/>
    <s v="DD订水"/>
    <n v="2.25"/>
  </r>
  <r>
    <d v="2024-05-29T00:00:00"/>
    <s v="WE"/>
    <s v="支"/>
    <x v="1"/>
    <s v="4.5+14+13+12"/>
    <n v="43.5"/>
  </r>
  <r>
    <m/>
    <m/>
    <s v="支"/>
    <x v="2"/>
    <s v="本子"/>
    <n v="3"/>
  </r>
  <r>
    <d v="2024-05-30T00:00:00"/>
    <s v="TH"/>
    <s v="支"/>
    <x v="1"/>
    <s v="3+14+12"/>
    <n v="29"/>
  </r>
  <r>
    <d v="2024-05-31T00:00:00"/>
    <s v="FR"/>
    <s v="支"/>
    <x v="1"/>
    <s v="5+13"/>
    <n v="18"/>
  </r>
  <r>
    <m/>
    <m/>
    <s v="支"/>
    <x v="0"/>
    <s v="交通"/>
    <n v="8"/>
  </r>
  <r>
    <m/>
    <m/>
    <s v="支"/>
    <x v="0"/>
    <s v="红包"/>
    <n v="1.2800000000000002"/>
  </r>
  <r>
    <m/>
    <m/>
    <s v="支"/>
    <x v="3"/>
    <s v="原画"/>
    <n v="372.0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d v="2024-06-01T00:00:00"/>
    <s v="SA"/>
    <s v="支"/>
    <x v="0"/>
    <s v="资料"/>
    <n v="0.6"/>
  </r>
  <r>
    <d v="2024-06-02T00:00:00"/>
    <s v="SU"/>
    <s v="支"/>
    <x v="1"/>
    <s v="交通"/>
    <n v="8"/>
  </r>
  <r>
    <m/>
    <m/>
    <s v="支"/>
    <x v="1"/>
    <s v="美团扣费"/>
    <n v="0.99"/>
  </r>
  <r>
    <d v="2024-06-03T00:00:00"/>
    <s v="MO"/>
    <s v="支"/>
    <x v="2"/>
    <s v="4+11+10"/>
    <n v="25"/>
  </r>
  <r>
    <d v="2024-06-04T00:00:00"/>
    <s v="TU"/>
    <s v="支"/>
    <x v="2"/>
    <s v="4+11.70+12"/>
    <n v="27.7"/>
  </r>
  <r>
    <m/>
    <m/>
    <s v="支"/>
    <x v="0"/>
    <s v="文具"/>
    <n v="8"/>
  </r>
  <r>
    <d v="2024-06-05T00:00:00"/>
    <s v="WE"/>
    <s v="支"/>
    <x v="2"/>
    <s v="4+14+70"/>
    <n v="88"/>
  </r>
  <r>
    <m/>
    <m/>
    <s v="收"/>
    <x v="1"/>
    <s v="15.75+15.75+15.75+30"/>
    <m/>
  </r>
  <r>
    <d v="2024-06-06T00:00:00"/>
    <s v="TH"/>
    <s v="支"/>
    <x v="2"/>
    <s v="9+5+12"/>
    <n v="26"/>
  </r>
  <r>
    <m/>
    <m/>
    <s v="支"/>
    <x v="1"/>
    <s v="DD订水"/>
    <n v="2.25"/>
  </r>
  <r>
    <d v="2024-06-07T00:00:00"/>
    <s v="FR"/>
    <s v="支"/>
    <x v="2"/>
    <s v="8.5+8"/>
    <n v="16.5"/>
  </r>
  <r>
    <m/>
    <m/>
    <s v="支"/>
    <x v="1"/>
    <s v="花费"/>
    <n v="40"/>
  </r>
  <r>
    <m/>
    <m/>
    <s v="支"/>
    <x v="1"/>
    <s v="交通"/>
    <n v="8"/>
  </r>
  <r>
    <d v="2024-06-08T00:00:00"/>
    <s v="SA"/>
    <s v="支"/>
    <x v="1"/>
    <s v="交通"/>
    <n v="10"/>
  </r>
  <r>
    <d v="2024-06-09T00:00:00"/>
    <s v="SU"/>
    <s v="支"/>
    <x v="0"/>
    <s v="资料"/>
    <n v="0.3"/>
  </r>
  <r>
    <d v="2024-06-10T00:00:00"/>
    <s v="MO"/>
    <s v="支"/>
    <x v="1"/>
    <s v="交通"/>
    <n v="8"/>
  </r>
  <r>
    <m/>
    <m/>
    <s v="支"/>
    <x v="2"/>
    <n v="5"/>
    <n v="5"/>
  </r>
  <r>
    <d v="2024-06-11T00:00:00"/>
    <s v="TU"/>
    <s v="支"/>
    <x v="2"/>
    <s v="3+13+22.5+10.5"/>
    <n v="49"/>
  </r>
  <r>
    <m/>
    <m/>
    <s v="支"/>
    <x v="0"/>
    <s v="资料"/>
    <n v="0.4"/>
  </r>
  <r>
    <d v="2024-06-12T00:00:00"/>
    <s v="WE"/>
    <s v="支"/>
    <x v="2"/>
    <s v="4.5+10+12"/>
    <n v="26.5"/>
  </r>
  <r>
    <m/>
    <m/>
    <s v="支"/>
    <x v="0"/>
    <s v="资料"/>
    <n v="0.2"/>
  </r>
  <r>
    <d v="2024-06-13T00:00:00"/>
    <s v="TH"/>
    <s v="支"/>
    <x v="2"/>
    <s v="4+12+14+0.5"/>
    <n v="30.5"/>
  </r>
  <r>
    <d v="2024-06-14T00:00:00"/>
    <s v="FR"/>
    <s v="支"/>
    <x v="2"/>
    <s v="3+10+10.5"/>
    <n v="23.5"/>
  </r>
  <r>
    <d v="2024-06-15T00:00:00"/>
    <s v="SA"/>
    <s v="支"/>
    <x v="2"/>
    <s v="6+15+11"/>
    <n v="32"/>
  </r>
  <r>
    <m/>
    <m/>
    <s v="支"/>
    <x v="1"/>
    <s v="DD订水"/>
    <n v="2.25"/>
  </r>
  <r>
    <d v="2024-06-16T00:00:00"/>
    <s v="SU"/>
    <s v="支"/>
    <x v="2"/>
    <s v="13+10.5"/>
    <n v="23.5"/>
  </r>
  <r>
    <d v="2024-06-17T00:00:00"/>
    <s v="MO"/>
    <s v="支"/>
    <x v="2"/>
    <s v="5+10.5+11"/>
    <n v="26.5"/>
  </r>
  <r>
    <m/>
    <m/>
    <s v="支"/>
    <x v="0"/>
    <s v="资料"/>
    <n v="0.4"/>
  </r>
  <r>
    <m/>
    <m/>
    <s v="支"/>
    <x v="1"/>
    <s v="热水"/>
    <n v="20.11"/>
  </r>
  <r>
    <d v="2024-06-18T00:00:00"/>
    <s v="TU"/>
    <s v="支"/>
    <x v="2"/>
    <s v="4+14+12"/>
    <n v="30"/>
  </r>
  <r>
    <d v="2024-06-19T00:00:00"/>
    <s v="WE"/>
    <s v="支"/>
    <x v="2"/>
    <s v="4+10.5"/>
    <n v="14.5"/>
  </r>
  <r>
    <m/>
    <m/>
    <s v="支"/>
    <x v="3"/>
    <s v="画"/>
    <n v="372.07"/>
  </r>
  <r>
    <m/>
    <m/>
    <s v="收"/>
    <x v="1"/>
    <s v="网费收回"/>
    <m/>
  </r>
  <r>
    <d v="2024-06-20T00:00:00"/>
    <s v="TH"/>
    <s v="支"/>
    <x v="2"/>
    <s v="8+2+4+13+12"/>
    <n v="39"/>
  </r>
  <r>
    <d v="2024-06-21T00:00:00"/>
    <s v="FR"/>
    <s v="支"/>
    <x v="2"/>
    <s v="3+12+13"/>
    <n v="28"/>
  </r>
  <r>
    <d v="2024-06-22T00:00:00"/>
    <s v="SA"/>
    <s v="支"/>
    <x v="1"/>
    <s v="交通"/>
    <n v="8"/>
  </r>
  <r>
    <m/>
    <m/>
    <s v="支"/>
    <x v="1"/>
    <s v="美团哈喽"/>
    <n v="4.29"/>
  </r>
  <r>
    <d v="2024-06-23T00:00:00"/>
    <s v="SU"/>
    <s v="支"/>
    <x v="2"/>
    <s v="8+9.89+13"/>
    <n v="30.89"/>
  </r>
  <r>
    <d v="2024-06-24T00:00:00"/>
    <s v="MO"/>
    <s v="支"/>
    <x v="2"/>
    <s v="4+12.5+10"/>
    <n v="26.5"/>
  </r>
  <r>
    <m/>
    <m/>
    <s v="支"/>
    <x v="1"/>
    <s v="DD订水"/>
    <n v="2.25"/>
  </r>
  <r>
    <m/>
    <m/>
    <s v="支"/>
    <x v="2"/>
    <s v="饼"/>
    <n v="3"/>
  </r>
  <r>
    <d v="2024-06-25T00:00:00"/>
    <s v="TU"/>
    <s v="支"/>
    <x v="2"/>
    <s v="5+10.5+10"/>
    <n v="25.5"/>
  </r>
  <r>
    <d v="2024-06-26T00:00:00"/>
    <s v="WE"/>
    <s v="支"/>
    <x v="2"/>
    <s v="4+12+8"/>
    <n v="24"/>
  </r>
  <r>
    <d v="2024-06-27T00:00:00"/>
    <s v="TH"/>
    <s v="支"/>
    <x v="2"/>
    <s v="4+10+14"/>
    <n v="28"/>
  </r>
  <r>
    <d v="2024-06-28T00:00:00"/>
    <s v="WE"/>
    <s v="支"/>
    <x v="2"/>
    <s v="5+10+19"/>
    <n v="34"/>
  </r>
  <r>
    <d v="2024-06-29T00:00:00"/>
    <s v="TH"/>
    <s v="支"/>
    <x v="2"/>
    <s v="4.5+13+12+4"/>
    <n v="33.5"/>
  </r>
  <r>
    <m/>
    <m/>
    <s v="支"/>
    <x v="1"/>
    <s v="DD订水"/>
    <n v="2.25"/>
  </r>
  <r>
    <d v="2024-06-30T00:00:00"/>
    <s v="FR"/>
    <s v="支"/>
    <x v="2"/>
    <s v="5+11+3+14"/>
    <n v="33"/>
  </r>
  <r>
    <m/>
    <m/>
    <s v="支"/>
    <x v="1"/>
    <s v="9.9+7"/>
    <n v="16.89999999999999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d v="2024-07-01T00:00:00"/>
    <s v="MO"/>
    <s v="支"/>
    <x v="0"/>
    <s v="3+1+10.5"/>
    <n v="14.5"/>
  </r>
  <r>
    <m/>
    <m/>
    <s v="支"/>
    <x v="1"/>
    <s v="交通"/>
    <n v="6"/>
  </r>
  <r>
    <d v="2024-07-02T00:00:00"/>
    <s v="TU"/>
    <s v="支"/>
    <x v="0"/>
    <s v="5+13"/>
    <n v="18"/>
  </r>
  <r>
    <d v="2024-07-03T00:00:00"/>
    <s v="WE"/>
    <s v="支"/>
    <x v="0"/>
    <s v="4+13+12"/>
    <n v="29"/>
  </r>
  <r>
    <m/>
    <m/>
    <s v="支"/>
    <x v="1"/>
    <s v="电费"/>
    <n v="33.340000000000003"/>
  </r>
  <r>
    <m/>
    <m/>
    <s v="支"/>
    <x v="1"/>
    <m/>
    <n v="53.8"/>
  </r>
  <r>
    <d v="2024-07-04T00:00:00"/>
    <s v="TH"/>
    <s v="支"/>
    <x v="0"/>
    <s v="4.5+13+4"/>
    <n v="21.5"/>
  </r>
  <r>
    <d v="2024-07-05T00:00:00"/>
    <s v="FR"/>
    <s v="支"/>
    <x v="0"/>
    <s v="4+6+12+7"/>
    <n v="29"/>
  </r>
  <r>
    <d v="2024-07-06T00:00:00"/>
    <s v="SA"/>
    <s v="支"/>
    <x v="1"/>
    <s v="交通"/>
    <n v="8"/>
  </r>
  <r>
    <m/>
    <m/>
    <s v="支"/>
    <x v="0"/>
    <n v="5"/>
    <n v="5"/>
  </r>
  <r>
    <d v="2024-07-08T00:00:00"/>
    <s v="MO"/>
    <s v="支"/>
    <x v="0"/>
    <s v="10+16"/>
    <n v="26"/>
  </r>
  <r>
    <m/>
    <m/>
    <s v="支"/>
    <x v="1"/>
    <s v="交通"/>
    <n v="8"/>
  </r>
  <r>
    <m/>
    <m/>
    <s v="支"/>
    <x v="2"/>
    <m/>
    <m/>
  </r>
  <r>
    <m/>
    <m/>
    <s v="支"/>
    <x v="1"/>
    <n v="5.5"/>
    <n v="5.5"/>
  </r>
  <r>
    <d v="2024-07-09T00:00:00"/>
    <s v="TU"/>
    <s v="支"/>
    <x v="0"/>
    <s v="4.5+12+10"/>
    <n v="26.5"/>
  </r>
  <r>
    <m/>
    <m/>
    <s v="支"/>
    <x v="3"/>
    <n v="10"/>
    <n v="10"/>
  </r>
  <r>
    <d v="2024-07-10T00:00:00"/>
    <s v="WE"/>
    <s v="支"/>
    <x v="0"/>
    <s v="4.5+13+10"/>
    <n v="27.5"/>
  </r>
  <r>
    <d v="2024-07-11T00:00:00"/>
    <s v="TH"/>
    <s v="支"/>
    <x v="0"/>
    <s v="4+10+11"/>
    <n v="25"/>
  </r>
  <r>
    <d v="2024-07-12T00:00:00"/>
    <s v="FR"/>
    <s v="支"/>
    <x v="0"/>
    <n v="4.5"/>
    <n v="4.5"/>
  </r>
  <r>
    <d v="2024-07-15T00:00:00"/>
    <s v="MO"/>
    <s v="支"/>
    <x v="3"/>
    <n v="9.8000000000000007"/>
    <n v="9.8000000000000007"/>
  </r>
  <r>
    <m/>
    <m/>
    <s v="支"/>
    <x v="1"/>
    <s v="交通"/>
    <n v="12"/>
  </r>
  <r>
    <m/>
    <m/>
    <s v="支"/>
    <x v="1"/>
    <s v="电费"/>
    <n v="20"/>
  </r>
  <r>
    <m/>
    <m/>
    <s v="支"/>
    <x v="0"/>
    <s v="13+11"/>
    <n v="24"/>
  </r>
  <r>
    <d v="2024-07-16T00:00:00"/>
    <s v="TU"/>
    <s v="支"/>
    <x v="0"/>
    <s v="4.5+13+11"/>
    <n v="28.5"/>
  </r>
  <r>
    <m/>
    <m/>
    <s v="支"/>
    <x v="0"/>
    <n v="9"/>
    <n v="9"/>
  </r>
  <r>
    <d v="2024-07-17T00:00:00"/>
    <s v="WE"/>
    <s v="支"/>
    <x v="0"/>
    <s v="4.5+11+10"/>
    <n v="25.5"/>
  </r>
  <r>
    <d v="2024-07-18T00:00:00"/>
    <s v="TH"/>
    <s v="支"/>
    <x v="0"/>
    <s v="4.5+12+10"/>
    <n v="26.5"/>
  </r>
  <r>
    <d v="2024-07-19T00:00:00"/>
    <s v="FR"/>
    <s v="支"/>
    <x v="0"/>
    <s v="4.5+11+10"/>
    <n v="25.5"/>
  </r>
  <r>
    <m/>
    <m/>
    <s v="支"/>
    <x v="1"/>
    <s v="话费"/>
    <n v="50"/>
  </r>
  <r>
    <d v="2024-07-20T00:00:00"/>
    <s v="SA"/>
    <s v="支"/>
    <x v="0"/>
    <s v="4.5+10"/>
    <n v="14.5"/>
  </r>
  <r>
    <m/>
    <m/>
    <s v="支"/>
    <x v="1"/>
    <s v="交通"/>
    <n v="8"/>
  </r>
  <r>
    <m/>
    <m/>
    <s v="支"/>
    <x v="4"/>
    <s v="画"/>
    <n v="372.07"/>
  </r>
  <r>
    <d v="2024-07-22T00:00:00"/>
    <s v="MO"/>
    <s v="支"/>
    <x v="0"/>
    <s v="9+12.5"/>
    <n v="21.5"/>
  </r>
  <r>
    <m/>
    <m/>
    <s v="支"/>
    <x v="1"/>
    <s v="交通"/>
    <n v="8"/>
  </r>
  <r>
    <d v="2024-07-23T00:00:00"/>
    <s v="TU"/>
    <s v="支"/>
    <x v="0"/>
    <s v="4.5+10"/>
    <n v="14.5"/>
  </r>
  <r>
    <d v="2024-07-24T00:00:00"/>
    <s v="WE"/>
    <s v="支"/>
    <x v="0"/>
    <s v="4.5+10+13"/>
    <n v="27.5"/>
  </r>
  <r>
    <m/>
    <m/>
    <s v="支"/>
    <x v="1"/>
    <s v="电费"/>
    <n v="20"/>
  </r>
  <r>
    <d v="2024-07-25T00:00:00"/>
    <s v="TH"/>
    <s v="支"/>
    <x v="0"/>
    <s v="4.5+10+10"/>
    <n v="24.5"/>
  </r>
  <r>
    <m/>
    <m/>
    <s v="支"/>
    <x v="1"/>
    <n v="9"/>
    <n v="9"/>
  </r>
  <r>
    <d v="2024-07-26T00:00:00"/>
    <s v="FR"/>
    <s v="支"/>
    <x v="1"/>
    <s v="11+16.55"/>
    <n v="27.55"/>
  </r>
  <r>
    <d v="2024-07-27T00:00:00"/>
    <s v="SA"/>
    <s v="支"/>
    <x v="0"/>
    <n v="15"/>
    <n v="15"/>
  </r>
  <r>
    <m/>
    <m/>
    <s v="支"/>
    <x v="1"/>
    <s v="交通"/>
    <n v="8"/>
  </r>
  <r>
    <d v="2024-07-28T00:00:00"/>
    <s v="SU"/>
    <s v="支"/>
    <x v="1"/>
    <s v="摄影"/>
    <n v="40"/>
  </r>
  <r>
    <d v="2024-07-29T00:00:00"/>
    <s v="MO"/>
    <s v="支"/>
    <x v="1"/>
    <s v="交通"/>
    <n v="8"/>
  </r>
  <r>
    <m/>
    <m/>
    <s v="支"/>
    <x v="1"/>
    <s v="丰巢"/>
    <n v="0.5"/>
  </r>
  <r>
    <m/>
    <m/>
    <s v="支"/>
    <x v="0"/>
    <n v="10"/>
    <n v="10"/>
  </r>
  <r>
    <d v="2024-07-30T00:00:00"/>
    <s v="TU"/>
    <s v="支"/>
    <x v="0"/>
    <s v="4+12+15"/>
    <n v="31"/>
  </r>
  <r>
    <d v="2024-07-31T00:00:00"/>
    <s v="WE"/>
    <s v="支"/>
    <x v="0"/>
    <s v="4.5+8.5+9+9"/>
    <n v="31"/>
  </r>
  <r>
    <m/>
    <m/>
    <s v="支"/>
    <x v="0"/>
    <n v="8.68"/>
    <n v="8.68"/>
  </r>
  <r>
    <m/>
    <m/>
    <s v="支"/>
    <x v="1"/>
    <s v="美团单车"/>
    <n v="9.89"/>
  </r>
  <r>
    <m/>
    <m/>
    <s v="支"/>
    <x v="3"/>
    <s v="学费"/>
    <n v="8550"/>
  </r>
  <r>
    <m/>
    <m/>
    <s v="支"/>
    <x v="1"/>
    <s v="打车"/>
    <n v="34.8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d v="2024-08-01T00:00:00"/>
    <s v="TH"/>
    <s v="支"/>
    <x v="0"/>
    <s v="14+17"/>
    <n v="31"/>
  </r>
  <r>
    <d v="2024-08-02T00:00:00"/>
    <s v="FR"/>
    <s v="支"/>
    <x v="0"/>
    <s v="4.5+12"/>
    <n v="16.5"/>
  </r>
  <r>
    <m/>
    <m/>
    <s v="支"/>
    <x v="1"/>
    <s v="交通"/>
    <n v="8"/>
  </r>
  <r>
    <m/>
    <m/>
    <s v="支"/>
    <x v="1"/>
    <s v="身份证"/>
    <n v="20"/>
  </r>
  <r>
    <d v="2024-08-03T00:00:00"/>
    <s v="SA"/>
    <s v="支"/>
    <x v="1"/>
    <s v="身份证"/>
    <n v="20"/>
  </r>
  <r>
    <d v="2024-08-05T00:00:00"/>
    <s v="MO"/>
    <s v="支"/>
    <x v="0"/>
    <s v="13+12"/>
    <n v="25"/>
  </r>
  <r>
    <m/>
    <m/>
    <s v="支"/>
    <x v="1"/>
    <s v="交通"/>
    <n v="7"/>
  </r>
  <r>
    <d v="2024-08-06T00:00:00"/>
    <s v="TU"/>
    <s v="支"/>
    <x v="0"/>
    <s v="4.5+13+12"/>
    <n v="29.5"/>
  </r>
  <r>
    <m/>
    <m/>
    <s v="支"/>
    <x v="1"/>
    <s v="电费"/>
    <n v="20"/>
  </r>
  <r>
    <d v="2024-08-07T00:00:00"/>
    <s v="WE"/>
    <s v="支"/>
    <x v="0"/>
    <s v="4.5+12+9"/>
    <n v="25.5"/>
  </r>
  <r>
    <d v="2024-08-08T00:00:00"/>
    <s v="TH"/>
    <s v="支"/>
    <x v="0"/>
    <s v="4.5+8.5+19"/>
    <n v="32"/>
  </r>
  <r>
    <d v="2024-08-09T00:00:00"/>
    <s v="FR"/>
    <s v="支"/>
    <x v="0"/>
    <s v="4.5+8.5+11.5"/>
    <n v="24.5"/>
  </r>
  <r>
    <d v="2024-08-10T00:00:00"/>
    <s v="SA"/>
    <s v="支"/>
    <x v="0"/>
    <s v="4.5+12+8"/>
    <n v="24.5"/>
  </r>
  <r>
    <d v="2024-08-11T00:00:00"/>
    <s v="SU"/>
    <s v="支"/>
    <x v="1"/>
    <s v="水管"/>
    <n v="5"/>
  </r>
  <r>
    <d v="2024-08-12T00:00:00"/>
    <s v="MO"/>
    <s v="支"/>
    <x v="1"/>
    <s v="交通"/>
    <n v="8"/>
  </r>
  <r>
    <d v="2024-08-13T00:00:00"/>
    <s v="TU"/>
    <s v="支"/>
    <x v="0"/>
    <s v="4.5+12+10"/>
    <n v="26.5"/>
  </r>
  <r>
    <d v="2024-08-14T00:00:00"/>
    <s v="WE"/>
    <s v="支"/>
    <x v="0"/>
    <s v="4.5+5+8.5+12"/>
    <n v="30"/>
  </r>
  <r>
    <d v="2024-08-15T00:00:00"/>
    <s v="TH"/>
    <s v="支"/>
    <x v="0"/>
    <s v="5+9.5+10"/>
    <n v="24.5"/>
  </r>
  <r>
    <d v="2024-08-16T00:00:00"/>
    <s v="FR"/>
    <s v="支"/>
    <x v="0"/>
    <s v="4+0.5+14+10"/>
    <n v="28.5"/>
  </r>
  <r>
    <m/>
    <m/>
    <s v="支"/>
    <x v="1"/>
    <s v="电费"/>
    <n v="5"/>
  </r>
  <r>
    <d v="2024-08-17T00:00:00"/>
    <s v="SA"/>
    <s v="支"/>
    <x v="0"/>
    <n v="13"/>
    <n v="13"/>
  </r>
  <r>
    <m/>
    <m/>
    <s v="支"/>
    <x v="1"/>
    <s v="交通"/>
    <n v="8"/>
  </r>
  <r>
    <d v="2024-08-18T00:00:00"/>
    <s v="SU"/>
    <s v="支"/>
    <x v="1"/>
    <n v="5.9"/>
    <n v="5.9"/>
  </r>
  <r>
    <m/>
    <m/>
    <m/>
    <x v="1"/>
    <s v="高铁"/>
    <n v="159"/>
  </r>
  <r>
    <d v="2024-08-19T00:00:00"/>
    <s v="MO"/>
    <s v="支"/>
    <x v="1"/>
    <s v="交通"/>
    <n v="169.5"/>
  </r>
  <r>
    <d v="2024-08-20T00:00:00"/>
    <s v="TU"/>
    <s v="支"/>
    <x v="1"/>
    <s v="交通"/>
    <n v="13"/>
  </r>
  <r>
    <d v="2024-08-21T00:00:00"/>
    <s v="WE"/>
    <s v="支"/>
    <x v="1"/>
    <s v="购物"/>
    <n v="197.22"/>
  </r>
  <r>
    <d v="2024-08-22T00:00:00"/>
    <s v="TH"/>
    <s v="支"/>
    <x v="1"/>
    <s v="购物"/>
    <n v="59"/>
  </r>
  <r>
    <d v="2024-08-23T00:00:00"/>
    <s v="FR"/>
    <s v="支"/>
    <x v="0"/>
    <n v="10"/>
    <n v="10"/>
  </r>
  <r>
    <m/>
    <m/>
    <s v="支"/>
    <x v="1"/>
    <s v="交通"/>
    <n v="8"/>
  </r>
  <r>
    <m/>
    <m/>
    <s v="支"/>
    <x v="2"/>
    <s v="教材"/>
    <n v="35.299999999999997"/>
  </r>
  <r>
    <d v="2024-08-24T00:00:00"/>
    <s v="SA"/>
    <s v="支"/>
    <x v="0"/>
    <s v="8+14.9+4.5"/>
    <n v="27.4"/>
  </r>
  <r>
    <d v="2024-08-25T00:00:00"/>
    <s v="SU"/>
    <s v="支"/>
    <x v="0"/>
    <s v="3.5+12+13"/>
    <n v="28.5"/>
  </r>
  <r>
    <m/>
    <m/>
    <s v="支"/>
    <x v="1"/>
    <s v="网费120"/>
    <n v="40"/>
  </r>
  <r>
    <m/>
    <m/>
    <s v="支"/>
    <x v="0"/>
    <s v="咖啡"/>
    <n v="9.66"/>
  </r>
  <r>
    <d v="2024-08-26T00:00:00"/>
    <s v="MO"/>
    <s v="支"/>
    <x v="0"/>
    <s v="5+10+10"/>
    <n v="25"/>
  </r>
  <r>
    <m/>
    <m/>
    <s v="支"/>
    <x v="1"/>
    <s v="DD订水"/>
    <n v="2.25"/>
  </r>
  <r>
    <m/>
    <m/>
    <s v="支"/>
    <x v="2"/>
    <s v="教材"/>
    <n v="5"/>
  </r>
  <r>
    <m/>
    <m/>
    <s v="收"/>
    <x v="1"/>
    <s v="教材卖出"/>
    <m/>
  </r>
  <r>
    <m/>
    <m/>
    <s v="支"/>
    <x v="2"/>
    <s v="教材"/>
    <n v="11"/>
  </r>
  <r>
    <m/>
    <m/>
    <m/>
    <x v="3"/>
    <m/>
    <m/>
  </r>
  <r>
    <m/>
    <m/>
    <s v="支"/>
    <x v="1"/>
    <s v="医保"/>
    <n v="413"/>
  </r>
  <r>
    <m/>
    <m/>
    <s v="支"/>
    <x v="1"/>
    <s v="出借"/>
    <n v="100"/>
  </r>
  <r>
    <d v="2024-08-27T00:00:00"/>
    <s v="TU"/>
    <s v="支"/>
    <x v="0"/>
    <s v="8+14+3"/>
    <n v="25"/>
  </r>
  <r>
    <m/>
    <m/>
    <s v="支"/>
    <x v="4"/>
    <s v="教师节礼物"/>
    <n v="263"/>
  </r>
  <r>
    <m/>
    <m/>
    <s v="支"/>
    <x v="1"/>
    <s v="花费"/>
    <n v="20"/>
  </r>
  <r>
    <m/>
    <m/>
    <s v="收"/>
    <x v="1"/>
    <s v="教材卖出"/>
    <m/>
  </r>
  <r>
    <m/>
    <m/>
    <s v="支"/>
    <x v="2"/>
    <s v="教材"/>
    <n v="16.2"/>
  </r>
  <r>
    <d v="2024-08-28T00:00:00"/>
    <s v="WE"/>
    <s v="支"/>
    <x v="0"/>
    <s v="11+9+2.5"/>
    <n v="22.5"/>
  </r>
  <r>
    <m/>
    <m/>
    <s v="支"/>
    <x v="1"/>
    <s v="电费"/>
    <n v="68.34"/>
  </r>
  <r>
    <d v="2024-08-29T00:00:00"/>
    <s v="TH"/>
    <s v="支"/>
    <x v="0"/>
    <s v="3+11+11"/>
    <n v="25"/>
  </r>
  <r>
    <d v="2024-08-30T00:00:00"/>
    <s v="FR"/>
    <s v="支"/>
    <x v="0"/>
    <s v="7+10+15"/>
    <n v="32"/>
  </r>
  <r>
    <m/>
    <m/>
    <s v="支"/>
    <x v="1"/>
    <s v="丰巢"/>
    <n v="0.5"/>
  </r>
  <r>
    <m/>
    <m/>
    <s v="支"/>
    <x v="2"/>
    <s v="教材"/>
    <n v="25.26"/>
  </r>
  <r>
    <d v="2024-08-31T00:00:00"/>
    <s v="SA"/>
    <s v="支"/>
    <x v="0"/>
    <s v="3.5+14+14"/>
    <n v="31.2"/>
  </r>
  <r>
    <m/>
    <m/>
    <s v="支"/>
    <x v="1"/>
    <s v="29.7+15.9+1.49+9.9"/>
    <n v="56.99"/>
  </r>
  <r>
    <m/>
    <m/>
    <s v="支"/>
    <x v="5"/>
    <s v="画"/>
    <n v="1116.16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863BE-447E-4260-BE31-AD959F89DC31}" name="数据透视表12" cacheId="2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10" firstHeaderRow="1" firstDataRow="1" firstDataCol="1"/>
  <pivotFields count="6">
    <pivotField showAll="0"/>
    <pivotField showAll="0"/>
    <pivotField showAll="0"/>
    <pivotField axis="axisRow" showAll="0">
      <items count="7">
        <item x="1"/>
        <item x="5"/>
        <item x="4"/>
        <item x="2"/>
        <item x="0"/>
        <item x="3"/>
        <item t="default"/>
      </items>
    </pivotField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金额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EB44C-28FF-48FB-852C-8A0628774A41}" name="数据透视表1" cacheId="2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3">
  <location ref="X36:Y42" firstHeaderRow="1" firstDataRow="1" firstDataCol="1"/>
  <pivotFields count="8">
    <pivotField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dataField="1" numFmtId="176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金额" fld="5" baseField="0" baseItem="0"/>
  </dataFields>
  <formats count="15"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dataOnly="0" labelOnly="1" outline="0" axis="axisValues" fieldPosition="0"/>
    </format>
    <format dxfId="10">
      <pivotArea grandRow="1"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3" type="button" dataOnly="0" labelOnly="1" outline="0" axis="axisRow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8ACA0-B749-4DD2-99F0-9768E763A314}" name="数据透视表2" cacheId="2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5">
  <location ref="AC36:AD42" firstHeaderRow="1" firstDataRow="1" firstDataCol="1"/>
  <pivotFields count="4">
    <pivotField showAll="0">
      <items count="3">
        <item x="1"/>
        <item x="0"/>
        <item t="default"/>
      </items>
    </pivotField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金额" fld="3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69797-A8EC-4889-BD9C-5BC11DF4CE8F}" name="数据透视表3" cacheId="2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9">
  <location ref="AF36:AG42" firstHeaderRow="1" firstDataRow="1" firstDataCol="1"/>
  <pivotFields count="6"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金额" fld="5" baseField="0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3" type="button" dataOnly="0" labelOnly="1" outline="0" axis="axisRow" fieldPosition="0"/>
    </format>
    <format dxfId="27">
      <pivotArea dataOnly="0" labelOnly="1" fieldPosition="0">
        <references count="1">
          <reference field="3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chartFormats count="6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7B498-5EBF-44CE-A6B3-6ED49EEC79A8}" name="数据透视表13" cacheId="2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5">
  <location ref="AG60:AH67" firstHeaderRow="1" firstDataRow="1" firstDataCol="1"/>
  <pivotFields count="6">
    <pivotField showAll="0"/>
    <pivotField showAll="0"/>
    <pivotField showAll="0"/>
    <pivotField axis="axisRow" showAll="0">
      <items count="7">
        <item x="1"/>
        <item x="5"/>
        <item x="4"/>
        <item x="2"/>
        <item x="0"/>
        <item x="3"/>
        <item t="default"/>
      </items>
    </pivotField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金额" fld="5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97AB6-A722-48CC-A7F3-76D81D9463B7}" name="数据透视表9" cacheId="2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>
  <location ref="AC61:AD67" firstHeaderRow="1" firstDataRow="1" firstDataCol="1"/>
  <pivotFields count="6">
    <pivotField showAll="0"/>
    <pivotField showAll="0"/>
    <pivotField showAll="0"/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金额" fld="5" baseField="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3" type="button" dataOnly="0" labelOnly="1" outline="0" axis="axisRow" fieldPosition="0"/>
    </format>
    <format dxfId="33">
      <pivotArea dataOnly="0" labelOnly="1" fieldPosition="0">
        <references count="1">
          <reference field="3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E28D1-C49B-45EF-B92C-C47781FEB4CB}" name="数据透视表4" cacheId="2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9">
  <location ref="AI36:AJ41" firstHeaderRow="1" firstDataRow="1" firstDataCol="1"/>
  <pivotFields count="6"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>
      <items count="42">
        <item x="20"/>
        <item x="34"/>
        <item x="7"/>
        <item x="28"/>
        <item x="15"/>
        <item x="10"/>
        <item x="5"/>
        <item x="38"/>
        <item x="40"/>
        <item x="1"/>
        <item x="0"/>
        <item x="11"/>
        <item x="12"/>
        <item x="27"/>
        <item x="23"/>
        <item x="37"/>
        <item x="33"/>
        <item x="13"/>
        <item x="21"/>
        <item x="24"/>
        <item x="26"/>
        <item x="22"/>
        <item x="16"/>
        <item x="29"/>
        <item x="32"/>
        <item x="39"/>
        <item x="17"/>
        <item x="31"/>
        <item x="4"/>
        <item x="18"/>
        <item x="2"/>
        <item x="19"/>
        <item x="25"/>
        <item x="8"/>
        <item x="6"/>
        <item x="30"/>
        <item x="3"/>
        <item x="14"/>
        <item x="35"/>
        <item x="36"/>
        <item x="9"/>
        <item t="default"/>
      </items>
    </pivotField>
    <pivotField dataField="1" numFmtId="178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金额" fld="5" baseField="0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3" type="button" dataOnly="0" labelOnly="1" outline="0" axis="axisRow" fieldPosition="0"/>
    </format>
    <format dxfId="39">
      <pivotArea dataOnly="0" labelOnly="1" fieldPosition="0">
        <references count="1">
          <reference field="3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AF00E-888D-40BB-96BE-90BC21637A18}" name="数据透视表5" cacheId="2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8">
  <location ref="AL36:AM41" firstHeaderRow="1" firstDataRow="1" firstDataCol="1"/>
  <pivotFields count="6"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金额" fld="5" baseField="0" baseItem="0"/>
  </dataFields>
  <formats count="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3" type="button" dataOnly="0" labelOnly="1" outline="0" axis="axisRow" fieldPosition="0"/>
    </format>
    <format dxfId="45">
      <pivotArea dataOnly="0" labelOnly="1" fieldPosition="0">
        <references count="1">
          <reference field="3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46241-69E1-4BF4-8DAB-4194041BFB2E}" name="数据透视表7" cacheId="2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>
  <location ref="Y61:Z66" firstHeaderRow="1" firstDataRow="1" firstDataCol="1"/>
  <pivotFields count="6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金额" fld="5" baseField="0" baseItem="0"/>
  </dataFields>
  <formats count="6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3" type="button" dataOnly="0" labelOnly="1" outline="0" axis="axisRow" fieldPosition="0"/>
    </format>
    <format dxfId="51">
      <pivotArea dataOnly="0" labelOnly="1" fieldPosition="0">
        <references count="1">
          <reference field="3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蓝色​​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5.xm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L50"/>
  <sheetViews>
    <sheetView showGridLines="0" zoomScale="52" zoomScaleNormal="52" workbookViewId="0"/>
  </sheetViews>
  <sheetFormatPr defaultRowHeight="13.9" x14ac:dyDescent="0.4"/>
  <sheetData>
    <row r="2" spans="2:38" ht="14.25" thickBot="1" x14ac:dyDescent="0.45"/>
    <row r="3" spans="2:38" ht="14.25" thickTop="1" x14ac:dyDescent="0.4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pans="2:38" x14ac:dyDescent="0.4">
      <c r="B4" s="12"/>
      <c r="AL4" s="13"/>
    </row>
    <row r="5" spans="2:38" x14ac:dyDescent="0.4">
      <c r="B5" s="12"/>
      <c r="AL5" s="13"/>
    </row>
    <row r="6" spans="2:38" x14ac:dyDescent="0.4">
      <c r="B6" s="12"/>
      <c r="AL6" s="13"/>
    </row>
    <row r="7" spans="2:38" x14ac:dyDescent="0.4">
      <c r="B7" s="12"/>
      <c r="AL7" s="13"/>
    </row>
    <row r="8" spans="2:38" x14ac:dyDescent="0.4">
      <c r="B8" s="12"/>
      <c r="AL8" s="13"/>
    </row>
    <row r="9" spans="2:38" x14ac:dyDescent="0.4">
      <c r="B9" s="12"/>
      <c r="AL9" s="13"/>
    </row>
    <row r="10" spans="2:38" x14ac:dyDescent="0.4">
      <c r="B10" s="12"/>
      <c r="AL10" s="13"/>
    </row>
    <row r="11" spans="2:38" x14ac:dyDescent="0.4">
      <c r="B11" s="12"/>
      <c r="AL11" s="13"/>
    </row>
    <row r="12" spans="2:38" x14ac:dyDescent="0.4">
      <c r="B12" s="12"/>
      <c r="AL12" s="13"/>
    </row>
    <row r="13" spans="2:38" x14ac:dyDescent="0.4">
      <c r="B13" s="12"/>
      <c r="AL13" s="13"/>
    </row>
    <row r="14" spans="2:38" x14ac:dyDescent="0.4">
      <c r="B14" s="12"/>
      <c r="AL14" s="13"/>
    </row>
    <row r="15" spans="2:38" x14ac:dyDescent="0.4">
      <c r="B15" s="12"/>
      <c r="AL15" s="13"/>
    </row>
    <row r="16" spans="2:38" x14ac:dyDescent="0.4">
      <c r="B16" s="12"/>
      <c r="AL16" s="13"/>
    </row>
    <row r="17" spans="2:38" x14ac:dyDescent="0.4">
      <c r="B17" s="12"/>
      <c r="AL17" s="13"/>
    </row>
    <row r="18" spans="2:38" x14ac:dyDescent="0.4">
      <c r="B18" s="12"/>
      <c r="AL18" s="13"/>
    </row>
    <row r="19" spans="2:38" x14ac:dyDescent="0.4">
      <c r="B19" s="12"/>
      <c r="AL19" s="13"/>
    </row>
    <row r="20" spans="2:38" x14ac:dyDescent="0.4">
      <c r="B20" s="12"/>
      <c r="AL20" s="13"/>
    </row>
    <row r="21" spans="2:38" x14ac:dyDescent="0.4">
      <c r="B21" s="12"/>
      <c r="AL21" s="13"/>
    </row>
    <row r="22" spans="2:38" x14ac:dyDescent="0.4">
      <c r="B22" s="12"/>
      <c r="AL22" s="13"/>
    </row>
    <row r="23" spans="2:38" x14ac:dyDescent="0.4">
      <c r="B23" s="12"/>
      <c r="AL23" s="13"/>
    </row>
    <row r="24" spans="2:38" x14ac:dyDescent="0.4">
      <c r="B24" s="12"/>
      <c r="AL24" s="13"/>
    </row>
    <row r="25" spans="2:38" x14ac:dyDescent="0.4">
      <c r="B25" s="12"/>
      <c r="AL25" s="13"/>
    </row>
    <row r="26" spans="2:38" x14ac:dyDescent="0.4">
      <c r="B26" s="12"/>
      <c r="AL26" s="13"/>
    </row>
    <row r="27" spans="2:38" x14ac:dyDescent="0.4">
      <c r="B27" s="12"/>
      <c r="AL27" s="13"/>
    </row>
    <row r="28" spans="2:38" x14ac:dyDescent="0.4">
      <c r="B28" s="12"/>
      <c r="AL28" s="13"/>
    </row>
    <row r="29" spans="2:38" x14ac:dyDescent="0.4">
      <c r="B29" s="12"/>
      <c r="AL29" s="13"/>
    </row>
    <row r="30" spans="2:38" x14ac:dyDescent="0.4">
      <c r="B30" s="12"/>
      <c r="AL30" s="13"/>
    </row>
    <row r="31" spans="2:38" x14ac:dyDescent="0.4">
      <c r="B31" s="12"/>
      <c r="AL31" s="13"/>
    </row>
    <row r="32" spans="2:38" x14ac:dyDescent="0.4">
      <c r="B32" s="12"/>
      <c r="AL32" s="13"/>
    </row>
    <row r="33" spans="2:38" x14ac:dyDescent="0.4">
      <c r="B33" s="12"/>
      <c r="AL33" s="13"/>
    </row>
    <row r="34" spans="2:38" x14ac:dyDescent="0.4">
      <c r="B34" s="12"/>
      <c r="AL34" s="13"/>
    </row>
    <row r="35" spans="2:38" x14ac:dyDescent="0.4">
      <c r="B35" s="12"/>
      <c r="AL35" s="13"/>
    </row>
    <row r="36" spans="2:38" x14ac:dyDescent="0.4">
      <c r="B36" s="12"/>
      <c r="AL36" s="13"/>
    </row>
    <row r="37" spans="2:38" x14ac:dyDescent="0.4">
      <c r="B37" s="12"/>
      <c r="AL37" s="13"/>
    </row>
    <row r="38" spans="2:38" x14ac:dyDescent="0.4">
      <c r="B38" s="12"/>
      <c r="AL38" s="13"/>
    </row>
    <row r="39" spans="2:38" x14ac:dyDescent="0.4">
      <c r="B39" s="12"/>
      <c r="AL39" s="13"/>
    </row>
    <row r="40" spans="2:38" x14ac:dyDescent="0.4">
      <c r="B40" s="12"/>
      <c r="AL40" s="13"/>
    </row>
    <row r="41" spans="2:38" x14ac:dyDescent="0.4">
      <c r="B41" s="12"/>
      <c r="AL41" s="13"/>
    </row>
    <row r="42" spans="2:38" x14ac:dyDescent="0.4">
      <c r="B42" s="12"/>
      <c r="AL42" s="13"/>
    </row>
    <row r="43" spans="2:38" x14ac:dyDescent="0.4">
      <c r="B43" s="12"/>
      <c r="AL43" s="13"/>
    </row>
    <row r="44" spans="2:38" x14ac:dyDescent="0.4">
      <c r="B44" s="12"/>
      <c r="AL44" s="13"/>
    </row>
    <row r="45" spans="2:38" x14ac:dyDescent="0.4">
      <c r="B45" s="12"/>
      <c r="AL45" s="13"/>
    </row>
    <row r="46" spans="2:38" x14ac:dyDescent="0.4">
      <c r="B46" s="12"/>
      <c r="AL46" s="13"/>
    </row>
    <row r="47" spans="2:38" x14ac:dyDescent="0.4">
      <c r="B47" s="12"/>
      <c r="AL47" s="13"/>
    </row>
    <row r="48" spans="2:38" x14ac:dyDescent="0.4">
      <c r="B48" s="12"/>
      <c r="AL48" s="13"/>
    </row>
    <row r="49" spans="2:38" ht="14.25" thickBot="1" x14ac:dyDescent="0.45"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"/>
    </row>
    <row r="50" spans="2:38" ht="14.25" thickTop="1" x14ac:dyDescent="0.4"/>
  </sheetData>
  <sheetProtection sheet="1" objects="1" scenarios="1"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C48B-63FD-47C0-A248-93FF80C049AA}">
  <sheetPr codeName="Sheet2"/>
  <dimension ref="A1:K235"/>
  <sheetViews>
    <sheetView showGridLines="0" topLeftCell="A22" zoomScaleNormal="100" workbookViewId="0">
      <selection sqref="A1:B2"/>
    </sheetView>
  </sheetViews>
  <sheetFormatPr defaultRowHeight="13.9" x14ac:dyDescent="0.4"/>
  <cols>
    <col min="1" max="1" width="21.265625" style="4" customWidth="1"/>
    <col min="2" max="2" width="9.33203125" customWidth="1"/>
    <col min="5" max="5" width="80.73046875" customWidth="1"/>
    <col min="6" max="6" width="9.53125" style="8" bestFit="1" customWidth="1"/>
    <col min="7" max="7" width="9.06640625" style="8" customWidth="1"/>
    <col min="8" max="8" width="9.53125" customWidth="1"/>
  </cols>
  <sheetData>
    <row r="1" spans="1:11" ht="13.9" customHeight="1" x14ac:dyDescent="0.4">
      <c r="A1" s="78" t="s">
        <v>1</v>
      </c>
      <c r="B1" s="78"/>
      <c r="C1" s="79" t="s">
        <v>2</v>
      </c>
      <c r="D1" s="78"/>
      <c r="E1" s="78"/>
      <c r="F1" s="78"/>
      <c r="G1" s="78"/>
      <c r="H1" s="78"/>
      <c r="I1" s="1"/>
      <c r="J1" s="1"/>
      <c r="K1" s="1"/>
    </row>
    <row r="2" spans="1:11" ht="65.25" customHeight="1" x14ac:dyDescent="0.4">
      <c r="A2" s="78"/>
      <c r="B2" s="78"/>
      <c r="C2" s="78"/>
      <c r="D2" s="78"/>
      <c r="E2" s="78"/>
      <c r="F2" s="78"/>
      <c r="G2" s="78"/>
      <c r="H2" s="78"/>
      <c r="I2" s="1"/>
      <c r="J2" s="1"/>
      <c r="K2" s="1"/>
    </row>
    <row r="3" spans="1:11" ht="32.25" x14ac:dyDescent="0.4">
      <c r="A3" s="5" t="s">
        <v>0</v>
      </c>
      <c r="B3" s="6" t="s">
        <v>3</v>
      </c>
      <c r="C3" s="6" t="s">
        <v>5</v>
      </c>
      <c r="D3" s="6" t="s">
        <v>4</v>
      </c>
      <c r="E3" s="6" t="s">
        <v>6</v>
      </c>
      <c r="F3" s="17" t="s">
        <v>7</v>
      </c>
      <c r="G3" s="20" t="s">
        <v>8</v>
      </c>
      <c r="H3" s="18" t="s">
        <v>9</v>
      </c>
      <c r="I3" s="1"/>
      <c r="J3" s="1"/>
      <c r="K3" s="2"/>
    </row>
    <row r="4" spans="1:11" x14ac:dyDescent="0.4">
      <c r="A4" s="5">
        <v>45292</v>
      </c>
      <c r="B4" s="6" t="s">
        <v>11</v>
      </c>
      <c r="C4" s="6" t="s">
        <v>12</v>
      </c>
      <c r="D4" s="6" t="s">
        <v>13</v>
      </c>
      <c r="E4" s="6" t="s">
        <v>14</v>
      </c>
      <c r="F4" s="17">
        <f>-(0.33+0.2+0.67+0.6+3.42+0.83+1.64+1.64+1.34+1.48+0.57+1.14)</f>
        <v>-13.860000000000001</v>
      </c>
      <c r="G4" s="20">
        <f>SUM(F5:F7)</f>
        <v>34</v>
      </c>
      <c r="H4" s="19">
        <f>F4</f>
        <v>-13.860000000000001</v>
      </c>
      <c r="I4" s="1"/>
      <c r="J4" s="1"/>
      <c r="K4" s="1"/>
    </row>
    <row r="5" spans="1:11" x14ac:dyDescent="0.4">
      <c r="A5" s="5"/>
      <c r="B5" s="6"/>
      <c r="C5" s="6" t="s">
        <v>15</v>
      </c>
      <c r="D5" s="6" t="s">
        <v>13</v>
      </c>
      <c r="E5" s="6" t="s">
        <v>16</v>
      </c>
      <c r="F5" s="17">
        <v>20</v>
      </c>
      <c r="G5" s="21"/>
      <c r="H5" s="18"/>
      <c r="I5" s="1"/>
      <c r="J5" s="1"/>
      <c r="K5" s="1"/>
    </row>
    <row r="6" spans="1:11" x14ac:dyDescent="0.4">
      <c r="A6" s="5"/>
      <c r="B6" s="6"/>
      <c r="C6" s="6" t="s">
        <v>15</v>
      </c>
      <c r="D6" s="6" t="s">
        <v>17</v>
      </c>
      <c r="E6" s="6" t="s">
        <v>18</v>
      </c>
      <c r="F6" s="17">
        <v>8</v>
      </c>
      <c r="G6" s="20"/>
      <c r="H6" s="18"/>
      <c r="I6" s="1"/>
      <c r="J6" s="1"/>
      <c r="K6" s="1"/>
    </row>
    <row r="7" spans="1:11" x14ac:dyDescent="0.4">
      <c r="A7" s="5"/>
      <c r="B7" s="6"/>
      <c r="C7" s="6" t="s">
        <v>15</v>
      </c>
      <c r="D7" s="6" t="s">
        <v>19</v>
      </c>
      <c r="E7" s="6">
        <v>6</v>
      </c>
      <c r="F7" s="17">
        <v>6</v>
      </c>
      <c r="G7" s="20"/>
      <c r="H7" s="18"/>
      <c r="I7" s="1"/>
      <c r="J7" s="1"/>
      <c r="K7" s="1"/>
    </row>
    <row r="8" spans="1:11" x14ac:dyDescent="0.4">
      <c r="A8" s="5">
        <v>45293</v>
      </c>
      <c r="B8" s="6" t="s">
        <v>20</v>
      </c>
      <c r="C8" s="6" t="s">
        <v>15</v>
      </c>
      <c r="D8" s="6" t="s">
        <v>19</v>
      </c>
      <c r="E8" s="6" t="s">
        <v>21</v>
      </c>
      <c r="F8" s="17">
        <v>25</v>
      </c>
      <c r="G8" s="20">
        <f>SUM(F8)</f>
        <v>25</v>
      </c>
      <c r="H8" s="18"/>
      <c r="I8" s="1"/>
      <c r="J8" s="1"/>
      <c r="K8" s="1"/>
    </row>
    <row r="9" spans="1:11" x14ac:dyDescent="0.4">
      <c r="A9" s="5">
        <v>45294</v>
      </c>
      <c r="B9" s="6" t="s">
        <v>22</v>
      </c>
      <c r="C9" s="6" t="s">
        <v>15</v>
      </c>
      <c r="D9" s="6" t="s">
        <v>19</v>
      </c>
      <c r="E9" s="6" t="s">
        <v>21</v>
      </c>
      <c r="F9" s="17">
        <v>25</v>
      </c>
      <c r="G9" s="20">
        <v>25</v>
      </c>
      <c r="H9" s="18"/>
      <c r="I9" s="1"/>
      <c r="J9" s="1"/>
      <c r="K9" s="1"/>
    </row>
    <row r="10" spans="1:11" x14ac:dyDescent="0.4">
      <c r="A10" s="5">
        <v>45295</v>
      </c>
      <c r="B10" s="6" t="s">
        <v>23</v>
      </c>
      <c r="C10" s="6" t="s">
        <v>15</v>
      </c>
      <c r="D10" s="6" t="s">
        <v>19</v>
      </c>
      <c r="E10" s="6" t="s">
        <v>21</v>
      </c>
      <c r="F10" s="17">
        <v>25</v>
      </c>
      <c r="G10" s="20">
        <v>27.25</v>
      </c>
      <c r="H10" s="18"/>
      <c r="I10" s="1"/>
      <c r="J10" s="1"/>
      <c r="K10" s="1"/>
    </row>
    <row r="11" spans="1:11" x14ac:dyDescent="0.4">
      <c r="A11" s="5"/>
      <c r="B11" s="6"/>
      <c r="C11" s="6" t="s">
        <v>15</v>
      </c>
      <c r="D11" s="6" t="s">
        <v>19</v>
      </c>
      <c r="E11" s="6" t="s">
        <v>25</v>
      </c>
      <c r="F11" s="17">
        <v>2.25</v>
      </c>
      <c r="G11" s="20"/>
      <c r="H11" s="18"/>
      <c r="I11" s="1"/>
      <c r="J11" s="1"/>
      <c r="K11" s="1"/>
    </row>
    <row r="12" spans="1:11" x14ac:dyDescent="0.4">
      <c r="A12" s="5">
        <v>45296</v>
      </c>
      <c r="B12" s="6" t="s">
        <v>24</v>
      </c>
      <c r="C12" s="6" t="s">
        <v>15</v>
      </c>
      <c r="D12" s="6" t="s">
        <v>19</v>
      </c>
      <c r="E12" s="6" t="s">
        <v>26</v>
      </c>
      <c r="F12" s="17">
        <v>29</v>
      </c>
      <c r="G12" s="20">
        <f>SUM(F12:F14)</f>
        <v>73.900000000000006</v>
      </c>
      <c r="H12" s="18"/>
      <c r="I12" s="1"/>
      <c r="J12" s="1"/>
      <c r="K12" s="1"/>
    </row>
    <row r="13" spans="1:11" x14ac:dyDescent="0.4">
      <c r="A13" s="5"/>
      <c r="B13" s="6"/>
      <c r="C13" s="6" t="s">
        <v>15</v>
      </c>
      <c r="D13" s="6" t="s">
        <v>10</v>
      </c>
      <c r="E13" s="6" t="s">
        <v>27</v>
      </c>
      <c r="F13" s="17">
        <v>35</v>
      </c>
      <c r="G13" s="20"/>
      <c r="H13" s="18"/>
      <c r="I13" s="1"/>
      <c r="J13" s="1"/>
      <c r="K13" s="1"/>
    </row>
    <row r="14" spans="1:11" x14ac:dyDescent="0.4">
      <c r="A14" s="5"/>
      <c r="B14" s="6"/>
      <c r="C14" s="6" t="s">
        <v>15</v>
      </c>
      <c r="D14" s="6" t="s">
        <v>17</v>
      </c>
      <c r="E14" s="6" t="s">
        <v>28</v>
      </c>
      <c r="F14" s="17">
        <v>9.9</v>
      </c>
      <c r="G14" s="20"/>
      <c r="H14" s="18"/>
      <c r="I14" s="1"/>
      <c r="J14" s="1"/>
      <c r="K14" s="1"/>
    </row>
    <row r="15" spans="1:11" x14ac:dyDescent="0.4">
      <c r="A15" s="5">
        <v>45297</v>
      </c>
      <c r="B15" s="6" t="s">
        <v>29</v>
      </c>
      <c r="C15" s="6" t="s">
        <v>15</v>
      </c>
      <c r="D15" s="6" t="s">
        <v>19</v>
      </c>
      <c r="E15" s="6" t="s">
        <v>30</v>
      </c>
      <c r="F15" s="17">
        <f>3+14+11</f>
        <v>28</v>
      </c>
      <c r="G15" s="20">
        <f>SUM(F15)</f>
        <v>28</v>
      </c>
      <c r="H15" s="18"/>
      <c r="I15" s="1"/>
      <c r="J15" s="1"/>
      <c r="K15" s="1"/>
    </row>
    <row r="16" spans="1:11" x14ac:dyDescent="0.4">
      <c r="A16" s="5">
        <v>45298</v>
      </c>
      <c r="B16" s="6" t="s">
        <v>31</v>
      </c>
      <c r="C16" s="6" t="s">
        <v>15</v>
      </c>
      <c r="D16" s="6" t="s">
        <v>19</v>
      </c>
      <c r="E16" s="6" t="s">
        <v>32</v>
      </c>
      <c r="F16" s="17">
        <v>27</v>
      </c>
      <c r="G16" s="20">
        <v>27</v>
      </c>
      <c r="H16" s="18"/>
      <c r="I16" s="1"/>
      <c r="J16" s="1"/>
      <c r="K16" s="1"/>
    </row>
    <row r="17" spans="1:11" x14ac:dyDescent="0.4">
      <c r="A17" s="5">
        <v>45299</v>
      </c>
      <c r="B17" s="6" t="s">
        <v>33</v>
      </c>
      <c r="C17" s="6" t="s">
        <v>15</v>
      </c>
      <c r="D17" s="6" t="s">
        <v>19</v>
      </c>
      <c r="E17" s="6" t="s">
        <v>32</v>
      </c>
      <c r="F17" s="17">
        <v>27</v>
      </c>
      <c r="G17" s="20">
        <f>SUM(F17:F20)</f>
        <v>80.740000000000009</v>
      </c>
      <c r="H17" s="18"/>
      <c r="I17" s="1"/>
      <c r="J17" s="1"/>
      <c r="K17" s="1"/>
    </row>
    <row r="18" spans="1:11" x14ac:dyDescent="0.4">
      <c r="A18" s="5"/>
      <c r="B18" s="6"/>
      <c r="C18" s="6" t="s">
        <v>15</v>
      </c>
      <c r="D18" s="6" t="s">
        <v>19</v>
      </c>
      <c r="E18" s="6" t="s">
        <v>25</v>
      </c>
      <c r="F18" s="17">
        <v>2.25</v>
      </c>
      <c r="G18" s="20"/>
      <c r="H18" s="18"/>
      <c r="I18" s="1"/>
      <c r="J18" s="1"/>
      <c r="K18" s="1"/>
    </row>
    <row r="19" spans="1:11" x14ac:dyDescent="0.4">
      <c r="A19" s="5"/>
      <c r="B19" s="6"/>
      <c r="C19" s="6" t="s">
        <v>15</v>
      </c>
      <c r="D19" s="6" t="s">
        <v>17</v>
      </c>
      <c r="E19" s="6" t="s">
        <v>28</v>
      </c>
      <c r="F19" s="17">
        <v>1.5</v>
      </c>
      <c r="G19" s="20"/>
      <c r="H19" s="18"/>
      <c r="I19" s="1"/>
      <c r="J19" s="1"/>
      <c r="K19" s="1"/>
    </row>
    <row r="20" spans="1:11" x14ac:dyDescent="0.4">
      <c r="A20" s="5"/>
      <c r="B20" s="6"/>
      <c r="C20" s="6" t="s">
        <v>15</v>
      </c>
      <c r="D20" s="6" t="s">
        <v>17</v>
      </c>
      <c r="E20" s="6" t="s">
        <v>34</v>
      </c>
      <c r="F20" s="17">
        <v>49.99</v>
      </c>
      <c r="G20" s="20"/>
      <c r="H20" s="18" t="s">
        <v>35</v>
      </c>
      <c r="I20" s="1"/>
      <c r="J20" s="1"/>
      <c r="K20" s="1"/>
    </row>
    <row r="21" spans="1:11" x14ac:dyDescent="0.4">
      <c r="A21" s="5">
        <v>45300</v>
      </c>
      <c r="B21" s="6" t="s">
        <v>20</v>
      </c>
      <c r="C21" s="6" t="s">
        <v>15</v>
      </c>
      <c r="D21" s="6" t="s">
        <v>19</v>
      </c>
      <c r="E21" s="6" t="s">
        <v>36</v>
      </c>
      <c r="F21" s="17">
        <v>29</v>
      </c>
      <c r="G21" s="20">
        <v>29</v>
      </c>
      <c r="H21" s="18"/>
      <c r="I21" s="1"/>
      <c r="J21" s="1"/>
      <c r="K21" s="1"/>
    </row>
    <row r="22" spans="1:11" x14ac:dyDescent="0.4">
      <c r="A22" s="5">
        <v>45301</v>
      </c>
      <c r="B22" s="6" t="s">
        <v>22</v>
      </c>
      <c r="C22" s="6" t="s">
        <v>15</v>
      </c>
      <c r="D22" s="6" t="s">
        <v>19</v>
      </c>
      <c r="E22" s="6" t="s">
        <v>32</v>
      </c>
      <c r="F22" s="17">
        <v>27</v>
      </c>
      <c r="G22" s="20">
        <f>F22+F23</f>
        <v>34</v>
      </c>
      <c r="H22" s="18"/>
      <c r="I22" s="1"/>
      <c r="J22" s="1"/>
      <c r="K22" s="1"/>
    </row>
    <row r="23" spans="1:11" x14ac:dyDescent="0.4">
      <c r="A23" s="5"/>
      <c r="B23" s="6"/>
      <c r="C23" s="6" t="s">
        <v>15</v>
      </c>
      <c r="D23" s="6" t="s">
        <v>17</v>
      </c>
      <c r="E23" s="6" t="s">
        <v>38</v>
      </c>
      <c r="F23" s="17">
        <v>7</v>
      </c>
      <c r="G23" s="20"/>
      <c r="H23" s="18"/>
      <c r="I23" s="1"/>
      <c r="J23" s="1"/>
      <c r="K23" s="1"/>
    </row>
    <row r="24" spans="1:11" x14ac:dyDescent="0.4">
      <c r="A24" s="5">
        <v>45302</v>
      </c>
      <c r="B24" s="6" t="s">
        <v>23</v>
      </c>
      <c r="C24" s="6" t="s">
        <v>15</v>
      </c>
      <c r="D24" s="6" t="s">
        <v>19</v>
      </c>
      <c r="E24" s="6" t="s">
        <v>36</v>
      </c>
      <c r="F24" s="17">
        <v>29</v>
      </c>
      <c r="G24" s="20">
        <v>29</v>
      </c>
      <c r="H24" s="18"/>
      <c r="I24" s="1"/>
      <c r="J24" s="1"/>
      <c r="K24" s="1"/>
    </row>
    <row r="25" spans="1:11" x14ac:dyDescent="0.4">
      <c r="A25" s="5">
        <v>45303</v>
      </c>
      <c r="B25" s="6" t="s">
        <v>24</v>
      </c>
      <c r="C25" s="6" t="s">
        <v>15</v>
      </c>
      <c r="D25" s="6" t="s">
        <v>17</v>
      </c>
      <c r="E25" s="6" t="s">
        <v>40</v>
      </c>
      <c r="F25" s="17">
        <v>20</v>
      </c>
      <c r="G25" s="20">
        <f>SUM(F25:F26)</f>
        <v>36</v>
      </c>
      <c r="H25" s="18"/>
      <c r="I25" s="1"/>
      <c r="J25" s="1"/>
      <c r="K25" s="1"/>
    </row>
    <row r="26" spans="1:11" x14ac:dyDescent="0.4">
      <c r="A26" s="5"/>
      <c r="B26" s="6"/>
      <c r="C26" s="6" t="s">
        <v>15</v>
      </c>
      <c r="D26" s="6" t="s">
        <v>19</v>
      </c>
      <c r="E26" s="6" t="s">
        <v>39</v>
      </c>
      <c r="F26" s="17">
        <v>16</v>
      </c>
      <c r="G26" s="20"/>
      <c r="H26" s="18"/>
      <c r="I26" s="1"/>
      <c r="J26" s="1"/>
      <c r="K26" s="1"/>
    </row>
    <row r="27" spans="1:11" x14ac:dyDescent="0.4">
      <c r="A27" s="5">
        <v>45305</v>
      </c>
      <c r="B27" s="6" t="s">
        <v>29</v>
      </c>
      <c r="C27" s="6" t="s">
        <v>15</v>
      </c>
      <c r="D27" s="6" t="s">
        <v>10</v>
      </c>
      <c r="E27" s="6" t="s">
        <v>41</v>
      </c>
      <c r="F27" s="17">
        <v>66.5</v>
      </c>
      <c r="G27" s="20">
        <f>SUM(F27:F28)</f>
        <v>124.67</v>
      </c>
      <c r="H27" s="19">
        <f>F29</f>
        <v>-100</v>
      </c>
      <c r="I27" s="1"/>
      <c r="J27" s="1"/>
      <c r="K27" s="1"/>
    </row>
    <row r="28" spans="1:11" x14ac:dyDescent="0.4">
      <c r="A28" s="5"/>
      <c r="B28" s="6"/>
      <c r="C28" s="6" t="s">
        <v>15</v>
      </c>
      <c r="D28" s="6" t="s">
        <v>17</v>
      </c>
      <c r="E28" s="6" t="s">
        <v>37</v>
      </c>
      <c r="F28" s="17">
        <f>48.17+10</f>
        <v>58.17</v>
      </c>
      <c r="G28" s="20"/>
      <c r="H28" s="18"/>
      <c r="I28" s="1"/>
      <c r="J28" s="1"/>
      <c r="K28" s="1"/>
    </row>
    <row r="29" spans="1:11" x14ac:dyDescent="0.4">
      <c r="A29" s="5"/>
      <c r="B29" s="6"/>
      <c r="C29" s="6" t="s">
        <v>12</v>
      </c>
      <c r="D29" s="6" t="s">
        <v>17</v>
      </c>
      <c r="E29" s="6" t="s">
        <v>42</v>
      </c>
      <c r="F29" s="17">
        <v>-100</v>
      </c>
      <c r="G29" s="20"/>
      <c r="H29" s="18"/>
      <c r="I29" s="1"/>
      <c r="J29" s="1"/>
      <c r="K29" s="1"/>
    </row>
    <row r="30" spans="1:11" x14ac:dyDescent="0.4">
      <c r="A30" s="5">
        <v>45309</v>
      </c>
      <c r="B30" s="6" t="s">
        <v>31</v>
      </c>
      <c r="C30" s="6" t="s">
        <v>15</v>
      </c>
      <c r="D30" s="6" t="s">
        <v>17</v>
      </c>
      <c r="E30" s="6" t="s">
        <v>43</v>
      </c>
      <c r="F30" s="17">
        <v>2</v>
      </c>
      <c r="G30" s="20">
        <v>20</v>
      </c>
      <c r="H30" s="18"/>
      <c r="I30" s="1"/>
      <c r="J30" s="1"/>
      <c r="K30" s="1"/>
    </row>
    <row r="31" spans="1:11" x14ac:dyDescent="0.4">
      <c r="A31" s="5"/>
      <c r="B31" s="6"/>
      <c r="C31" s="6" t="s">
        <v>15</v>
      </c>
      <c r="D31" s="6" t="s">
        <v>17</v>
      </c>
      <c r="E31" s="6" t="s">
        <v>18</v>
      </c>
      <c r="F31" s="17">
        <v>18</v>
      </c>
      <c r="G31" s="20"/>
      <c r="H31" s="18"/>
      <c r="I31" s="1"/>
      <c r="J31" s="1"/>
      <c r="K31" s="1"/>
    </row>
    <row r="32" spans="1:11" x14ac:dyDescent="0.4">
      <c r="A32" s="5">
        <v>45310</v>
      </c>
      <c r="B32" s="6" t="s">
        <v>33</v>
      </c>
      <c r="C32" s="6" t="s">
        <v>15</v>
      </c>
      <c r="D32" s="6" t="s">
        <v>44</v>
      </c>
      <c r="E32" s="6" t="s">
        <v>45</v>
      </c>
      <c r="F32" s="17">
        <v>372.07</v>
      </c>
      <c r="G32" s="20">
        <v>372.07</v>
      </c>
      <c r="H32" s="18" t="s">
        <v>35</v>
      </c>
      <c r="I32" s="1"/>
      <c r="J32" s="1"/>
      <c r="K32" s="1"/>
    </row>
    <row r="33" spans="1:11" x14ac:dyDescent="0.4">
      <c r="A33" s="5">
        <v>45315</v>
      </c>
      <c r="B33" s="6" t="s">
        <v>20</v>
      </c>
      <c r="C33" s="6" t="s">
        <v>15</v>
      </c>
      <c r="D33" s="6" t="s">
        <v>10</v>
      </c>
      <c r="E33" s="6" t="s">
        <v>46</v>
      </c>
      <c r="F33" s="17">
        <v>29.59</v>
      </c>
      <c r="G33" s="20">
        <v>29.59</v>
      </c>
      <c r="H33" s="18"/>
      <c r="I33" s="1"/>
      <c r="J33" s="1"/>
      <c r="K33" s="1"/>
    </row>
    <row r="34" spans="1:11" x14ac:dyDescent="0.4">
      <c r="A34" s="5">
        <v>45317</v>
      </c>
      <c r="B34" s="6" t="s">
        <v>22</v>
      </c>
      <c r="C34" s="6" t="s">
        <v>12</v>
      </c>
      <c r="D34" s="6" t="s">
        <v>17</v>
      </c>
      <c r="E34" s="6" t="s">
        <v>42</v>
      </c>
      <c r="F34" s="17">
        <v>-100</v>
      </c>
      <c r="G34" s="20">
        <v>32.08</v>
      </c>
      <c r="H34" s="18">
        <v>-100</v>
      </c>
      <c r="I34" s="1"/>
      <c r="J34" s="1"/>
      <c r="K34" s="1"/>
    </row>
    <row r="35" spans="1:11" x14ac:dyDescent="0.4">
      <c r="A35" s="5"/>
      <c r="B35" s="6"/>
      <c r="C35" s="6" t="s">
        <v>15</v>
      </c>
      <c r="D35" s="6" t="s">
        <v>17</v>
      </c>
      <c r="E35" s="6" t="s">
        <v>47</v>
      </c>
      <c r="F35" s="17">
        <f>45.98-13.9</f>
        <v>32.08</v>
      </c>
      <c r="G35" s="20"/>
      <c r="H35" s="18"/>
      <c r="I35" s="1"/>
      <c r="J35" s="1"/>
      <c r="K35" s="1"/>
    </row>
    <row r="36" spans="1:11" x14ac:dyDescent="0.4">
      <c r="A36" s="5">
        <v>45318</v>
      </c>
      <c r="B36" s="6" t="s">
        <v>29</v>
      </c>
      <c r="C36" s="6" t="s">
        <v>15</v>
      </c>
      <c r="D36" s="6" t="s">
        <v>17</v>
      </c>
      <c r="E36" s="6" t="s">
        <v>48</v>
      </c>
      <c r="F36" s="17">
        <v>31.8</v>
      </c>
      <c r="G36" s="20">
        <v>31.8</v>
      </c>
      <c r="H36" s="18"/>
      <c r="I36" s="1"/>
      <c r="J36" s="1"/>
      <c r="K36" s="1"/>
    </row>
    <row r="37" spans="1:11" x14ac:dyDescent="0.4">
      <c r="A37" s="5">
        <v>45320</v>
      </c>
      <c r="B37" s="6" t="s">
        <v>33</v>
      </c>
      <c r="C37" s="6" t="s">
        <v>15</v>
      </c>
      <c r="D37" s="6" t="s">
        <v>10</v>
      </c>
      <c r="E37" s="6" t="s">
        <v>49</v>
      </c>
      <c r="F37" s="17">
        <f>3.7+9.8+15.99</f>
        <v>29.490000000000002</v>
      </c>
      <c r="G37" s="20">
        <f>F37</f>
        <v>29.490000000000002</v>
      </c>
      <c r="H37" s="19">
        <v>-9.64</v>
      </c>
      <c r="I37" s="1"/>
      <c r="J37" s="1"/>
      <c r="K37" s="1"/>
    </row>
    <row r="38" spans="1:11" x14ac:dyDescent="0.4">
      <c r="A38" s="5"/>
      <c r="B38" s="6"/>
      <c r="C38" s="6" t="s">
        <v>12</v>
      </c>
      <c r="D38" s="6" t="s">
        <v>17</v>
      </c>
      <c r="E38" s="6" t="s">
        <v>50</v>
      </c>
      <c r="F38" s="17">
        <f>0.01+0.57+0.06</f>
        <v>0.6399999999999999</v>
      </c>
      <c r="G38" s="20"/>
      <c r="H38" s="18"/>
      <c r="I38" s="1"/>
      <c r="J38" s="1"/>
      <c r="K38" s="1"/>
    </row>
    <row r="39" spans="1:11" x14ac:dyDescent="0.4">
      <c r="A39" s="5"/>
      <c r="B39" s="6"/>
      <c r="C39" s="6" t="s">
        <v>12</v>
      </c>
      <c r="D39" s="6" t="s">
        <v>17</v>
      </c>
      <c r="E39" s="6" t="s">
        <v>51</v>
      </c>
      <c r="F39" s="17">
        <v>9</v>
      </c>
      <c r="G39" s="20"/>
      <c r="H39" s="18"/>
      <c r="I39" s="1"/>
      <c r="J39" s="1"/>
      <c r="K39" s="1"/>
    </row>
    <row r="40" spans="1:11" x14ac:dyDescent="0.4">
      <c r="A40" s="22">
        <v>45321</v>
      </c>
      <c r="B40" s="23" t="s">
        <v>20</v>
      </c>
      <c r="C40" s="23" t="s">
        <v>15</v>
      </c>
      <c r="D40" s="23" t="s">
        <v>17</v>
      </c>
      <c r="E40" s="23" t="s">
        <v>48</v>
      </c>
      <c r="F40" s="24">
        <v>8.6</v>
      </c>
      <c r="G40" s="25">
        <v>8.6</v>
      </c>
      <c r="H40" s="6"/>
      <c r="I40" s="1"/>
      <c r="J40" s="1"/>
      <c r="K40" s="1"/>
    </row>
    <row r="41" spans="1:11" x14ac:dyDescent="0.4">
      <c r="A41" s="29"/>
      <c r="B41" s="30"/>
      <c r="C41" s="30"/>
      <c r="D41" s="30"/>
      <c r="E41" s="30"/>
      <c r="F41" s="31"/>
      <c r="G41" s="31"/>
      <c r="H41" s="30"/>
      <c r="I41" s="1"/>
      <c r="J41" s="1"/>
      <c r="K41" s="1"/>
    </row>
    <row r="42" spans="1:11" x14ac:dyDescent="0.4">
      <c r="A42" s="26"/>
      <c r="B42" s="27"/>
      <c r="C42" s="27"/>
      <c r="D42" s="27"/>
      <c r="E42" s="27"/>
      <c r="F42" s="28"/>
      <c r="G42" s="28"/>
      <c r="H42" s="27"/>
      <c r="I42" s="1"/>
      <c r="J42" s="1"/>
      <c r="K42" s="1"/>
    </row>
    <row r="43" spans="1:11" x14ac:dyDescent="0.4">
      <c r="A43" s="26"/>
      <c r="B43" s="27"/>
      <c r="C43" s="27"/>
      <c r="D43" s="27"/>
      <c r="E43" s="27"/>
      <c r="F43" s="28"/>
      <c r="G43" s="28"/>
      <c r="H43" s="27"/>
      <c r="I43" s="1"/>
      <c r="J43" s="1"/>
      <c r="K43" s="1"/>
    </row>
    <row r="44" spans="1:11" x14ac:dyDescent="0.4">
      <c r="A44" s="26"/>
      <c r="B44" s="27"/>
      <c r="C44" s="27"/>
      <c r="D44" s="27"/>
      <c r="E44" s="27"/>
      <c r="F44" s="28"/>
      <c r="G44" s="28"/>
      <c r="H44" s="27"/>
      <c r="I44" s="1"/>
      <c r="J44" s="1"/>
      <c r="K44" s="1"/>
    </row>
    <row r="45" spans="1:11" x14ac:dyDescent="0.4">
      <c r="A45" s="26"/>
      <c r="B45" s="27"/>
      <c r="C45" s="27"/>
      <c r="D45" s="27"/>
      <c r="E45" s="27"/>
      <c r="F45" s="28"/>
      <c r="G45" s="28"/>
      <c r="H45" s="27"/>
      <c r="I45" s="1"/>
      <c r="J45" s="1"/>
      <c r="K45" s="1"/>
    </row>
    <row r="46" spans="1:11" x14ac:dyDescent="0.4">
      <c r="A46" s="26"/>
      <c r="B46" s="27"/>
      <c r="C46" s="27"/>
      <c r="D46" s="27"/>
      <c r="E46" s="27"/>
      <c r="F46" s="28"/>
      <c r="G46" s="28"/>
      <c r="H46" s="27"/>
      <c r="I46" s="1"/>
      <c r="J46" s="1"/>
      <c r="K46" s="1"/>
    </row>
    <row r="47" spans="1:11" x14ac:dyDescent="0.4">
      <c r="A47" s="26"/>
      <c r="B47" s="27"/>
      <c r="C47" s="27"/>
      <c r="D47" s="27"/>
      <c r="E47" s="27"/>
      <c r="F47" s="28"/>
      <c r="G47" s="28"/>
      <c r="H47" s="27"/>
      <c r="I47" s="1"/>
      <c r="J47" s="1"/>
      <c r="K47" s="1"/>
    </row>
    <row r="48" spans="1:11" x14ac:dyDescent="0.4">
      <c r="A48" s="26"/>
      <c r="B48" s="27"/>
      <c r="C48" s="27"/>
      <c r="D48" s="27"/>
      <c r="E48" s="27"/>
      <c r="F48" s="28"/>
      <c r="G48" s="28"/>
      <c r="H48" s="27"/>
      <c r="I48" s="1"/>
      <c r="J48" s="1"/>
      <c r="K48" s="1"/>
    </row>
    <row r="49" spans="1:11" x14ac:dyDescent="0.4">
      <c r="A49" s="26"/>
      <c r="B49" s="27"/>
      <c r="C49" s="27"/>
      <c r="D49" s="27"/>
      <c r="E49" s="27"/>
      <c r="F49" s="28"/>
      <c r="G49" s="28"/>
      <c r="H49" s="27"/>
      <c r="I49" s="1"/>
      <c r="J49" s="1"/>
      <c r="K49" s="1"/>
    </row>
    <row r="50" spans="1:11" x14ac:dyDescent="0.4">
      <c r="A50" s="26"/>
      <c r="B50" s="27"/>
      <c r="C50" s="27"/>
      <c r="D50" s="27"/>
      <c r="E50" s="27"/>
      <c r="F50" s="28"/>
      <c r="G50" s="28"/>
      <c r="H50" s="27"/>
      <c r="I50" s="1"/>
      <c r="J50" s="1"/>
      <c r="K50" s="1"/>
    </row>
    <row r="51" spans="1:11" x14ac:dyDescent="0.4">
      <c r="A51" s="26"/>
      <c r="B51" s="27"/>
      <c r="C51" s="27"/>
      <c r="D51" s="27"/>
      <c r="E51" s="27"/>
      <c r="F51" s="28"/>
      <c r="G51" s="28"/>
      <c r="H51" s="27"/>
      <c r="I51" s="1"/>
      <c r="J51" s="1"/>
      <c r="K51" s="1"/>
    </row>
    <row r="52" spans="1:11" x14ac:dyDescent="0.4">
      <c r="A52" s="26"/>
      <c r="B52" s="27"/>
      <c r="C52" s="27"/>
      <c r="D52" s="27"/>
      <c r="E52" s="27"/>
      <c r="F52" s="28"/>
      <c r="G52" s="28"/>
      <c r="H52" s="27"/>
      <c r="I52" s="1"/>
      <c r="J52" s="1"/>
      <c r="K52" s="1"/>
    </row>
    <row r="53" spans="1:11" x14ac:dyDescent="0.4">
      <c r="A53" s="26"/>
      <c r="B53" s="27"/>
      <c r="C53" s="27"/>
      <c r="D53" s="27"/>
      <c r="E53" s="27"/>
      <c r="F53" s="28"/>
      <c r="G53" s="28"/>
      <c r="H53" s="27"/>
      <c r="I53" s="1"/>
      <c r="J53" s="1"/>
      <c r="K53" s="1"/>
    </row>
    <row r="54" spans="1:11" x14ac:dyDescent="0.4">
      <c r="A54" s="26"/>
      <c r="B54" s="27"/>
      <c r="C54" s="27"/>
      <c r="D54" s="27"/>
      <c r="E54" s="27"/>
      <c r="F54" s="28"/>
      <c r="G54" s="28"/>
      <c r="H54" s="27"/>
      <c r="I54" s="1"/>
      <c r="J54" s="1"/>
      <c r="K54" s="1"/>
    </row>
    <row r="55" spans="1:11" x14ac:dyDescent="0.4">
      <c r="A55" s="26"/>
      <c r="B55" s="27"/>
      <c r="C55" s="27"/>
      <c r="D55" s="27"/>
      <c r="E55" s="27"/>
      <c r="F55" s="28"/>
      <c r="G55" s="28"/>
      <c r="H55" s="27"/>
      <c r="I55" s="1"/>
      <c r="J55" s="1"/>
      <c r="K55" s="1"/>
    </row>
    <row r="56" spans="1:11" x14ac:dyDescent="0.4">
      <c r="A56" s="26"/>
      <c r="B56" s="27"/>
      <c r="C56" s="27"/>
      <c r="D56" s="27"/>
      <c r="E56" s="27"/>
      <c r="F56" s="28"/>
      <c r="G56" s="28"/>
      <c r="H56" s="27"/>
      <c r="I56" s="1"/>
      <c r="J56" s="1"/>
      <c r="K56" s="1"/>
    </row>
    <row r="57" spans="1:11" x14ac:dyDescent="0.4">
      <c r="A57" s="26"/>
      <c r="B57" s="27"/>
      <c r="C57" s="27"/>
      <c r="D57" s="27"/>
      <c r="E57" s="27"/>
      <c r="F57" s="28"/>
      <c r="G57" s="28"/>
      <c r="H57" s="27"/>
      <c r="I57" s="1"/>
      <c r="J57" s="1"/>
      <c r="K57" s="1"/>
    </row>
    <row r="58" spans="1:11" x14ac:dyDescent="0.4">
      <c r="A58" s="26"/>
      <c r="B58" s="27"/>
      <c r="C58" s="27"/>
      <c r="D58" s="27"/>
      <c r="E58" s="27"/>
      <c r="F58" s="28"/>
      <c r="G58" s="28"/>
      <c r="H58" s="27"/>
      <c r="I58" s="1"/>
      <c r="J58" s="1"/>
      <c r="K58" s="1"/>
    </row>
    <row r="59" spans="1:11" x14ac:dyDescent="0.4">
      <c r="A59" s="26"/>
      <c r="B59" s="27"/>
      <c r="C59" s="27"/>
      <c r="D59" s="27"/>
      <c r="E59" s="27"/>
      <c r="F59" s="28"/>
      <c r="G59" s="28"/>
      <c r="H59" s="27"/>
      <c r="I59" s="1"/>
      <c r="J59" s="1"/>
      <c r="K59" s="1"/>
    </row>
    <row r="60" spans="1:11" x14ac:dyDescent="0.4">
      <c r="A60" s="26"/>
      <c r="B60" s="27"/>
      <c r="C60" s="27"/>
      <c r="D60" s="27"/>
      <c r="E60" s="27"/>
      <c r="F60" s="28"/>
      <c r="G60" s="28"/>
      <c r="H60" s="27"/>
      <c r="I60" s="1"/>
      <c r="J60" s="1"/>
      <c r="K60" s="1"/>
    </row>
    <row r="61" spans="1:11" x14ac:dyDescent="0.4">
      <c r="A61" s="26"/>
      <c r="B61" s="27"/>
      <c r="C61" s="27"/>
      <c r="D61" s="27"/>
      <c r="E61" s="27"/>
      <c r="F61" s="28"/>
      <c r="G61" s="28"/>
      <c r="H61" s="27"/>
      <c r="I61" s="1"/>
      <c r="J61" s="1"/>
      <c r="K61" s="1"/>
    </row>
    <row r="62" spans="1:11" x14ac:dyDescent="0.4">
      <c r="A62" s="26"/>
      <c r="B62" s="27"/>
      <c r="C62" s="27"/>
      <c r="D62" s="27"/>
      <c r="E62" s="27"/>
      <c r="F62" s="28"/>
      <c r="G62" s="28"/>
      <c r="H62" s="27"/>
      <c r="I62" s="1"/>
      <c r="J62" s="1"/>
      <c r="K62" s="1"/>
    </row>
    <row r="63" spans="1:11" x14ac:dyDescent="0.4">
      <c r="A63" s="26"/>
      <c r="B63" s="27"/>
      <c r="C63" s="27"/>
      <c r="D63" s="27"/>
      <c r="E63" s="27"/>
      <c r="F63" s="28"/>
      <c r="G63" s="28"/>
      <c r="H63" s="27"/>
      <c r="I63" s="1"/>
      <c r="J63" s="1"/>
      <c r="K63" s="1"/>
    </row>
    <row r="64" spans="1:11" x14ac:dyDescent="0.4">
      <c r="A64" s="26"/>
      <c r="B64" s="27"/>
      <c r="C64" s="27"/>
      <c r="D64" s="27"/>
      <c r="E64" s="27"/>
      <c r="F64" s="28"/>
      <c r="G64" s="28"/>
      <c r="H64" s="27"/>
      <c r="I64" s="1"/>
      <c r="J64" s="1"/>
      <c r="K64" s="1"/>
    </row>
    <row r="65" spans="1:11" x14ac:dyDescent="0.4">
      <c r="A65" s="26"/>
      <c r="B65" s="27"/>
      <c r="C65" s="27"/>
      <c r="D65" s="27"/>
      <c r="E65" s="27"/>
      <c r="F65" s="28"/>
      <c r="G65" s="28"/>
      <c r="H65" s="27"/>
      <c r="I65" s="1"/>
      <c r="J65" s="1"/>
      <c r="K65" s="1"/>
    </row>
    <row r="66" spans="1:11" x14ac:dyDescent="0.4">
      <c r="A66" s="26"/>
      <c r="B66" s="27"/>
      <c r="C66" s="27"/>
      <c r="D66" s="27"/>
      <c r="E66" s="27"/>
      <c r="F66" s="28"/>
      <c r="G66" s="28"/>
      <c r="H66" s="27"/>
      <c r="I66" s="1"/>
      <c r="J66" s="1"/>
      <c r="K66" s="1"/>
    </row>
    <row r="67" spans="1:11" x14ac:dyDescent="0.4">
      <c r="A67" s="26"/>
      <c r="B67" s="27"/>
      <c r="C67" s="27"/>
      <c r="D67" s="27"/>
      <c r="E67" s="27"/>
      <c r="F67" s="28"/>
      <c r="G67" s="28"/>
      <c r="H67" s="27"/>
      <c r="I67" s="1"/>
      <c r="J67" s="1"/>
      <c r="K67" s="1"/>
    </row>
    <row r="68" spans="1:11" x14ac:dyDescent="0.4">
      <c r="A68" s="26"/>
      <c r="B68" s="27"/>
      <c r="C68" s="27"/>
      <c r="D68" s="27"/>
      <c r="E68" s="27"/>
      <c r="F68" s="28"/>
      <c r="G68" s="28"/>
      <c r="H68" s="27"/>
      <c r="I68" s="1"/>
      <c r="J68" s="1"/>
      <c r="K68" s="1"/>
    </row>
    <row r="69" spans="1:11" x14ac:dyDescent="0.4">
      <c r="A69" s="26"/>
      <c r="B69" s="27"/>
      <c r="C69" s="27"/>
      <c r="D69" s="27"/>
      <c r="E69" s="27"/>
      <c r="F69" s="28"/>
      <c r="G69" s="28"/>
      <c r="H69" s="27"/>
      <c r="I69" s="1"/>
      <c r="J69" s="1"/>
      <c r="K69" s="1"/>
    </row>
    <row r="70" spans="1:11" x14ac:dyDescent="0.4">
      <c r="A70" s="26"/>
      <c r="B70" s="27"/>
      <c r="C70" s="27"/>
      <c r="D70" s="27"/>
      <c r="E70" s="27"/>
      <c r="F70" s="28"/>
      <c r="G70" s="28"/>
      <c r="H70" s="27"/>
      <c r="I70" s="1"/>
      <c r="J70" s="1"/>
      <c r="K70" s="1"/>
    </row>
    <row r="71" spans="1:11" x14ac:dyDescent="0.4">
      <c r="A71" s="26"/>
      <c r="B71" s="27"/>
      <c r="C71" s="27"/>
      <c r="D71" s="27"/>
      <c r="E71" s="27"/>
      <c r="F71" s="28"/>
      <c r="G71" s="28"/>
      <c r="H71" s="27"/>
      <c r="I71" s="1"/>
      <c r="J71" s="1"/>
      <c r="K71" s="1"/>
    </row>
    <row r="72" spans="1:11" x14ac:dyDescent="0.4">
      <c r="A72" s="26"/>
      <c r="B72" s="27"/>
      <c r="C72" s="27"/>
      <c r="D72" s="27"/>
      <c r="E72" s="27"/>
      <c r="F72" s="28"/>
      <c r="G72" s="28"/>
      <c r="H72" s="27"/>
      <c r="I72" s="1"/>
      <c r="J72" s="1"/>
      <c r="K72" s="1"/>
    </row>
    <row r="73" spans="1:11" x14ac:dyDescent="0.4">
      <c r="A73" s="26"/>
      <c r="B73" s="27"/>
      <c r="C73" s="27"/>
      <c r="D73" s="27"/>
      <c r="E73" s="27"/>
      <c r="F73" s="28"/>
      <c r="G73" s="28"/>
      <c r="H73" s="27"/>
      <c r="I73" s="1"/>
      <c r="J73" s="1"/>
      <c r="K73" s="1"/>
    </row>
    <row r="74" spans="1:11" x14ac:dyDescent="0.4">
      <c r="A74" s="26"/>
      <c r="B74" s="27"/>
      <c r="C74" s="27"/>
      <c r="D74" s="27"/>
      <c r="E74" s="27"/>
      <c r="F74" s="28"/>
      <c r="G74" s="28"/>
      <c r="H74" s="27"/>
      <c r="I74" s="1"/>
      <c r="J74" s="1"/>
      <c r="K74" s="1"/>
    </row>
    <row r="75" spans="1:11" x14ac:dyDescent="0.4">
      <c r="A75" s="26"/>
      <c r="B75" s="27"/>
      <c r="C75" s="27"/>
      <c r="D75" s="27"/>
      <c r="E75" s="27"/>
      <c r="F75" s="28"/>
      <c r="G75" s="28"/>
      <c r="H75" s="27"/>
      <c r="I75" s="1"/>
      <c r="J75" s="1"/>
      <c r="K75" s="1"/>
    </row>
    <row r="76" spans="1:11" x14ac:dyDescent="0.4">
      <c r="A76" s="26"/>
      <c r="B76" s="27"/>
      <c r="C76" s="27"/>
      <c r="D76" s="27"/>
      <c r="E76" s="27"/>
      <c r="F76" s="28"/>
      <c r="G76" s="28"/>
      <c r="H76" s="27"/>
      <c r="I76" s="1"/>
      <c r="J76" s="1"/>
      <c r="K76" s="1"/>
    </row>
    <row r="77" spans="1:11" x14ac:dyDescent="0.4">
      <c r="A77" s="3"/>
      <c r="B77" s="1"/>
      <c r="C77" s="1"/>
      <c r="D77" s="1"/>
      <c r="E77" s="1"/>
      <c r="F77" s="7"/>
      <c r="G77" s="7"/>
      <c r="H77" s="1"/>
      <c r="I77" s="1"/>
      <c r="J77" s="1"/>
      <c r="K77" s="1"/>
    </row>
    <row r="78" spans="1:11" x14ac:dyDescent="0.4">
      <c r="A78" s="3"/>
      <c r="B78" s="1"/>
      <c r="C78" s="1"/>
      <c r="D78" s="1"/>
      <c r="E78" s="1"/>
      <c r="F78" s="7"/>
      <c r="G78" s="7"/>
      <c r="H78" s="1"/>
      <c r="I78" s="1"/>
      <c r="J78" s="1"/>
      <c r="K78" s="1"/>
    </row>
    <row r="79" spans="1:11" x14ac:dyDescent="0.4">
      <c r="A79" s="3"/>
      <c r="B79" s="1"/>
      <c r="C79" s="1"/>
      <c r="D79" s="1"/>
      <c r="E79" s="1"/>
      <c r="F79" s="7"/>
      <c r="G79" s="7"/>
      <c r="H79" s="1"/>
      <c r="I79" s="1"/>
      <c r="J79" s="1"/>
      <c r="K79" s="1"/>
    </row>
    <row r="80" spans="1:11" x14ac:dyDescent="0.4">
      <c r="A80" s="3"/>
      <c r="B80" s="1"/>
      <c r="C80" s="1"/>
      <c r="D80" s="1"/>
      <c r="E80" s="1"/>
      <c r="F80" s="7"/>
      <c r="G80" s="7"/>
      <c r="H80" s="1"/>
      <c r="I80" s="1"/>
      <c r="J80" s="1"/>
      <c r="K80" s="1"/>
    </row>
    <row r="81" spans="1:11" x14ac:dyDescent="0.4">
      <c r="A81" s="3"/>
      <c r="B81" s="1"/>
      <c r="C81" s="1"/>
      <c r="D81" s="1"/>
      <c r="E81" s="1"/>
      <c r="F81" s="7"/>
      <c r="G81" s="7"/>
      <c r="H81" s="1"/>
      <c r="I81" s="1"/>
      <c r="J81" s="1"/>
      <c r="K81" s="1"/>
    </row>
    <row r="82" spans="1:11" x14ac:dyDescent="0.4">
      <c r="A82" s="3"/>
      <c r="B82" s="1"/>
      <c r="C82" s="1"/>
      <c r="D82" s="1"/>
      <c r="E82" s="1"/>
      <c r="F82" s="7"/>
      <c r="G82" s="7"/>
      <c r="H82" s="1"/>
      <c r="I82" s="1"/>
      <c r="J82" s="1"/>
      <c r="K82" s="1"/>
    </row>
    <row r="83" spans="1:11" x14ac:dyDescent="0.4">
      <c r="A83" s="3"/>
      <c r="B83" s="1"/>
      <c r="C83" s="1"/>
      <c r="D83" s="1"/>
      <c r="E83" s="1"/>
      <c r="F83" s="7"/>
      <c r="G83" s="7"/>
      <c r="H83" s="1"/>
      <c r="I83" s="1"/>
      <c r="J83" s="1"/>
      <c r="K83" s="1"/>
    </row>
    <row r="84" spans="1:11" x14ac:dyDescent="0.4">
      <c r="A84" s="3"/>
      <c r="B84" s="1"/>
      <c r="C84" s="1"/>
      <c r="D84" s="1"/>
      <c r="E84" s="1"/>
      <c r="F84" s="7"/>
      <c r="G84" s="7"/>
      <c r="H84" s="1"/>
      <c r="I84" s="1"/>
      <c r="J84" s="1"/>
      <c r="K84" s="1"/>
    </row>
    <row r="85" spans="1:11" x14ac:dyDescent="0.4">
      <c r="A85" s="3"/>
      <c r="B85" s="1"/>
      <c r="C85" s="1"/>
      <c r="D85" s="1"/>
      <c r="E85" s="1"/>
      <c r="F85" s="7"/>
      <c r="G85" s="7"/>
      <c r="H85" s="1"/>
      <c r="I85" s="1"/>
      <c r="J85" s="1"/>
      <c r="K85" s="1"/>
    </row>
    <row r="86" spans="1:11" x14ac:dyDescent="0.4">
      <c r="A86" s="3"/>
      <c r="B86" s="1"/>
      <c r="C86" s="1"/>
      <c r="D86" s="1"/>
      <c r="E86" s="1"/>
      <c r="F86" s="7"/>
      <c r="G86" s="7"/>
      <c r="H86" s="1"/>
      <c r="I86" s="1"/>
      <c r="J86" s="1"/>
      <c r="K86" s="1"/>
    </row>
    <row r="87" spans="1:11" x14ac:dyDescent="0.4">
      <c r="A87" s="3"/>
      <c r="B87" s="1"/>
      <c r="C87" s="1"/>
      <c r="D87" s="1"/>
      <c r="E87" s="1"/>
      <c r="F87" s="7"/>
      <c r="G87" s="7"/>
      <c r="H87" s="1"/>
      <c r="I87" s="1"/>
      <c r="J87" s="1"/>
      <c r="K87" s="1"/>
    </row>
    <row r="88" spans="1:11" x14ac:dyDescent="0.4">
      <c r="A88" s="3"/>
      <c r="B88" s="1"/>
      <c r="C88" s="1"/>
      <c r="D88" s="1"/>
      <c r="E88" s="1"/>
      <c r="F88" s="7"/>
      <c r="G88" s="7"/>
      <c r="H88" s="1"/>
      <c r="I88" s="1"/>
      <c r="J88" s="1"/>
      <c r="K88" s="1"/>
    </row>
    <row r="89" spans="1:11" x14ac:dyDescent="0.4">
      <c r="A89" s="3"/>
      <c r="B89" s="1"/>
      <c r="C89" s="1"/>
      <c r="D89" s="1"/>
      <c r="E89" s="1"/>
      <c r="F89" s="7"/>
      <c r="G89" s="7"/>
      <c r="H89" s="1"/>
      <c r="I89" s="1"/>
      <c r="J89" s="1"/>
      <c r="K89" s="1"/>
    </row>
    <row r="90" spans="1:11" x14ac:dyDescent="0.4">
      <c r="A90" s="3"/>
      <c r="B90" s="1"/>
      <c r="C90" s="1"/>
      <c r="D90" s="1"/>
      <c r="E90" s="1"/>
      <c r="F90" s="7"/>
      <c r="G90" s="7"/>
      <c r="H90" s="1"/>
      <c r="I90" s="1"/>
      <c r="J90" s="1"/>
      <c r="K90" s="1"/>
    </row>
    <row r="91" spans="1:11" x14ac:dyDescent="0.4">
      <c r="A91" s="3"/>
      <c r="B91" s="1"/>
      <c r="C91" s="1"/>
      <c r="D91" s="1"/>
      <c r="E91" s="1"/>
      <c r="F91" s="7"/>
      <c r="G91" s="7"/>
      <c r="H91" s="1"/>
      <c r="I91" s="1"/>
      <c r="J91" s="1"/>
      <c r="K91" s="1"/>
    </row>
    <row r="92" spans="1:11" x14ac:dyDescent="0.4">
      <c r="A92" s="3"/>
      <c r="B92" s="1"/>
      <c r="C92" s="1"/>
      <c r="D92" s="1"/>
      <c r="E92" s="1"/>
      <c r="F92" s="7"/>
      <c r="G92" s="7"/>
      <c r="H92" s="1"/>
      <c r="I92" s="1"/>
      <c r="J92" s="1"/>
      <c r="K92" s="1"/>
    </row>
    <row r="93" spans="1:11" x14ac:dyDescent="0.4">
      <c r="A93" s="3"/>
      <c r="B93" s="1"/>
      <c r="C93" s="1"/>
      <c r="D93" s="1"/>
      <c r="E93" s="1"/>
      <c r="F93" s="7"/>
      <c r="G93" s="7"/>
      <c r="H93" s="1"/>
      <c r="I93" s="1"/>
      <c r="J93" s="1"/>
      <c r="K93" s="1"/>
    </row>
    <row r="94" spans="1:11" x14ac:dyDescent="0.4">
      <c r="A94" s="3"/>
      <c r="B94" s="1"/>
      <c r="C94" s="1"/>
      <c r="D94" s="1"/>
      <c r="E94" s="1"/>
      <c r="F94" s="7"/>
      <c r="G94" s="7"/>
      <c r="H94" s="1"/>
      <c r="I94" s="1"/>
      <c r="J94" s="1"/>
      <c r="K94" s="1"/>
    </row>
    <row r="95" spans="1:11" x14ac:dyDescent="0.4">
      <c r="A95" s="3"/>
      <c r="B95" s="1"/>
      <c r="C95" s="1"/>
      <c r="D95" s="1"/>
      <c r="E95" s="1"/>
      <c r="F95" s="7"/>
      <c r="G95" s="7"/>
      <c r="H95" s="1"/>
      <c r="I95" s="1"/>
      <c r="J95" s="1"/>
      <c r="K95" s="1"/>
    </row>
    <row r="96" spans="1:11" x14ac:dyDescent="0.4">
      <c r="A96" s="3"/>
      <c r="B96" s="1"/>
      <c r="C96" s="1"/>
      <c r="D96" s="1"/>
      <c r="E96" s="1"/>
      <c r="F96" s="7"/>
      <c r="G96" s="7"/>
      <c r="H96" s="1"/>
      <c r="I96" s="1"/>
      <c r="J96" s="1"/>
      <c r="K96" s="1"/>
    </row>
    <row r="97" spans="1:11" x14ac:dyDescent="0.4">
      <c r="A97" s="3"/>
      <c r="B97" s="1"/>
      <c r="C97" s="1"/>
      <c r="D97" s="1"/>
      <c r="E97" s="1"/>
      <c r="F97" s="7"/>
      <c r="G97" s="7"/>
      <c r="H97" s="1"/>
      <c r="I97" s="1"/>
      <c r="J97" s="1"/>
      <c r="K97" s="1"/>
    </row>
    <row r="98" spans="1:11" x14ac:dyDescent="0.4">
      <c r="A98" s="3"/>
      <c r="B98" s="1"/>
      <c r="C98" s="1"/>
      <c r="D98" s="1"/>
      <c r="E98" s="1"/>
      <c r="F98" s="7"/>
      <c r="G98" s="7"/>
      <c r="H98" s="1"/>
      <c r="I98" s="1"/>
      <c r="J98" s="1"/>
      <c r="K98" s="1"/>
    </row>
    <row r="99" spans="1:11" x14ac:dyDescent="0.4">
      <c r="A99" s="3"/>
      <c r="B99" s="1"/>
      <c r="C99" s="1"/>
      <c r="D99" s="1"/>
      <c r="E99" s="1"/>
      <c r="F99" s="7"/>
      <c r="G99" s="7"/>
      <c r="H99" s="1"/>
      <c r="I99" s="1"/>
      <c r="J99" s="1"/>
      <c r="K99" s="1"/>
    </row>
    <row r="100" spans="1:11" x14ac:dyDescent="0.4">
      <c r="A100" s="3"/>
      <c r="B100" s="1"/>
      <c r="C100" s="1"/>
      <c r="D100" s="1"/>
      <c r="E100" s="1"/>
      <c r="F100" s="7"/>
      <c r="G100" s="7"/>
      <c r="H100" s="1"/>
      <c r="I100" s="1"/>
      <c r="J100" s="1"/>
      <c r="K100" s="1"/>
    </row>
    <row r="101" spans="1:11" x14ac:dyDescent="0.4">
      <c r="A101" s="3"/>
      <c r="B101" s="1"/>
      <c r="C101" s="1"/>
      <c r="D101" s="1"/>
      <c r="E101" s="1"/>
      <c r="F101" s="7"/>
      <c r="G101" s="7"/>
      <c r="H101" s="1"/>
      <c r="I101" s="1"/>
      <c r="J101" s="1"/>
      <c r="K101" s="1"/>
    </row>
    <row r="102" spans="1:11" x14ac:dyDescent="0.4">
      <c r="A102" s="3"/>
      <c r="B102" s="1"/>
      <c r="C102" s="1"/>
      <c r="D102" s="1"/>
      <c r="E102" s="1"/>
      <c r="F102" s="7"/>
      <c r="G102" s="7"/>
      <c r="H102" s="1"/>
      <c r="I102" s="1"/>
      <c r="J102" s="1"/>
      <c r="K102" s="1"/>
    </row>
    <row r="103" spans="1:11" x14ac:dyDescent="0.4">
      <c r="A103" s="3"/>
      <c r="B103" s="1"/>
      <c r="C103" s="1"/>
      <c r="D103" s="1"/>
      <c r="E103" s="1"/>
      <c r="F103" s="7"/>
      <c r="G103" s="7"/>
      <c r="H103" s="1"/>
      <c r="I103" s="1"/>
      <c r="J103" s="1"/>
      <c r="K103" s="1"/>
    </row>
    <row r="104" spans="1:11" x14ac:dyDescent="0.4">
      <c r="A104" s="3"/>
      <c r="B104" s="1"/>
      <c r="C104" s="1"/>
      <c r="D104" s="1"/>
      <c r="E104" s="1"/>
      <c r="F104" s="7"/>
      <c r="G104" s="7"/>
      <c r="H104" s="1"/>
      <c r="I104" s="1"/>
      <c r="J104" s="1"/>
      <c r="K104" s="1"/>
    </row>
    <row r="105" spans="1:11" x14ac:dyDescent="0.4">
      <c r="A105" s="3"/>
      <c r="B105" s="1"/>
      <c r="C105" s="1"/>
      <c r="D105" s="1"/>
      <c r="E105" s="1"/>
      <c r="F105" s="7"/>
      <c r="G105" s="7"/>
      <c r="H105" s="1"/>
      <c r="I105" s="1"/>
      <c r="J105" s="1"/>
      <c r="K105" s="1"/>
    </row>
    <row r="106" spans="1:11" x14ac:dyDescent="0.4">
      <c r="A106" s="3"/>
      <c r="B106" s="1"/>
      <c r="C106" s="1"/>
      <c r="D106" s="1"/>
      <c r="E106" s="1"/>
      <c r="F106" s="7"/>
      <c r="G106" s="7"/>
      <c r="H106" s="1"/>
      <c r="I106" s="1"/>
      <c r="J106" s="1"/>
      <c r="K106" s="1"/>
    </row>
    <row r="107" spans="1:11" x14ac:dyDescent="0.4">
      <c r="A107" s="3"/>
      <c r="B107" s="1"/>
      <c r="C107" s="1"/>
      <c r="D107" s="1"/>
      <c r="E107" s="1"/>
      <c r="F107" s="7"/>
      <c r="G107" s="7"/>
      <c r="H107" s="1"/>
      <c r="I107" s="1"/>
      <c r="J107" s="1"/>
      <c r="K107" s="1"/>
    </row>
    <row r="108" spans="1:11" x14ac:dyDescent="0.4">
      <c r="A108" s="3"/>
      <c r="B108" s="1"/>
      <c r="C108" s="1"/>
      <c r="D108" s="1"/>
      <c r="E108" s="1"/>
      <c r="F108" s="7"/>
      <c r="G108" s="7"/>
      <c r="H108" s="1"/>
      <c r="I108" s="1"/>
      <c r="J108" s="1"/>
      <c r="K108" s="1"/>
    </row>
    <row r="109" spans="1:11" x14ac:dyDescent="0.4">
      <c r="A109" s="3"/>
      <c r="B109" s="1"/>
      <c r="C109" s="1"/>
      <c r="D109" s="1"/>
      <c r="E109" s="1"/>
      <c r="F109" s="7"/>
      <c r="G109" s="7"/>
      <c r="H109" s="1"/>
      <c r="I109" s="1"/>
      <c r="J109" s="1"/>
      <c r="K109" s="1"/>
    </row>
    <row r="110" spans="1:11" x14ac:dyDescent="0.4">
      <c r="A110" s="3"/>
      <c r="B110" s="1"/>
      <c r="C110" s="1"/>
      <c r="D110" s="1"/>
      <c r="E110" s="1"/>
      <c r="F110" s="7"/>
      <c r="G110" s="7"/>
      <c r="H110" s="1"/>
      <c r="I110" s="1"/>
      <c r="J110" s="1"/>
      <c r="K110" s="1"/>
    </row>
    <row r="111" spans="1:11" x14ac:dyDescent="0.4">
      <c r="A111" s="3"/>
      <c r="B111" s="1"/>
      <c r="C111" s="1"/>
      <c r="D111" s="1"/>
      <c r="E111" s="1"/>
      <c r="F111" s="7"/>
      <c r="G111" s="7"/>
      <c r="H111" s="1"/>
      <c r="I111" s="1"/>
      <c r="J111" s="1"/>
      <c r="K111" s="1"/>
    </row>
    <row r="112" spans="1:11" x14ac:dyDescent="0.4">
      <c r="A112" s="3"/>
      <c r="B112" s="1"/>
      <c r="C112" s="1"/>
      <c r="D112" s="1"/>
      <c r="E112" s="1"/>
      <c r="F112" s="7"/>
      <c r="G112" s="7"/>
      <c r="H112" s="1"/>
      <c r="I112" s="1"/>
      <c r="J112" s="1"/>
      <c r="K112" s="1"/>
    </row>
    <row r="113" spans="1:11" x14ac:dyDescent="0.4">
      <c r="A113" s="3"/>
      <c r="B113" s="1"/>
      <c r="C113" s="1"/>
      <c r="D113" s="1"/>
      <c r="E113" s="1"/>
      <c r="F113" s="7"/>
      <c r="G113" s="7"/>
      <c r="H113" s="1"/>
      <c r="I113" s="1"/>
      <c r="J113" s="1"/>
      <c r="K113" s="1"/>
    </row>
    <row r="114" spans="1:11" x14ac:dyDescent="0.4">
      <c r="A114" s="3"/>
      <c r="B114" s="1"/>
      <c r="C114" s="1"/>
      <c r="D114" s="1"/>
      <c r="E114" s="1"/>
      <c r="F114" s="7"/>
      <c r="G114" s="7"/>
      <c r="H114" s="1"/>
      <c r="I114" s="1"/>
      <c r="J114" s="1"/>
      <c r="K114" s="1"/>
    </row>
    <row r="115" spans="1:11" x14ac:dyDescent="0.4">
      <c r="A115" s="3"/>
      <c r="B115" s="1"/>
      <c r="C115" s="1"/>
      <c r="D115" s="1"/>
      <c r="E115" s="1"/>
      <c r="F115" s="7"/>
      <c r="G115" s="7"/>
      <c r="H115" s="1"/>
      <c r="I115" s="1"/>
      <c r="J115" s="1"/>
      <c r="K115" s="1"/>
    </row>
    <row r="116" spans="1:11" x14ac:dyDescent="0.4">
      <c r="A116" s="3"/>
      <c r="B116" s="1"/>
      <c r="C116" s="1"/>
      <c r="D116" s="1"/>
      <c r="E116" s="1"/>
      <c r="F116" s="7"/>
      <c r="G116" s="7"/>
      <c r="H116" s="1"/>
      <c r="I116" s="1"/>
      <c r="J116" s="1"/>
      <c r="K116" s="1"/>
    </row>
    <row r="117" spans="1:11" x14ac:dyDescent="0.4">
      <c r="A117" s="3"/>
      <c r="B117" s="1"/>
      <c r="C117" s="1"/>
      <c r="D117" s="1"/>
      <c r="E117" s="1"/>
      <c r="F117" s="7"/>
      <c r="G117" s="7"/>
      <c r="H117" s="1"/>
      <c r="I117" s="1"/>
      <c r="J117" s="1"/>
      <c r="K117" s="1"/>
    </row>
    <row r="118" spans="1:11" x14ac:dyDescent="0.4">
      <c r="A118" s="3"/>
      <c r="B118" s="1"/>
      <c r="C118" s="1"/>
      <c r="D118" s="1"/>
      <c r="E118" s="1"/>
      <c r="F118" s="7"/>
      <c r="G118" s="7"/>
      <c r="H118" s="1"/>
      <c r="I118" s="1"/>
      <c r="J118" s="1"/>
      <c r="K118" s="1"/>
    </row>
    <row r="119" spans="1:11" x14ac:dyDescent="0.4">
      <c r="A119" s="3"/>
      <c r="B119" s="1"/>
      <c r="C119" s="1"/>
      <c r="D119" s="1"/>
      <c r="E119" s="1"/>
      <c r="F119" s="7"/>
      <c r="G119" s="7"/>
      <c r="H119" s="1"/>
      <c r="I119" s="1"/>
      <c r="J119" s="1"/>
      <c r="K119" s="1"/>
    </row>
    <row r="120" spans="1:11" x14ac:dyDescent="0.4">
      <c r="A120" s="3"/>
      <c r="B120" s="1"/>
      <c r="C120" s="1"/>
      <c r="D120" s="1"/>
      <c r="E120" s="1"/>
      <c r="F120" s="7"/>
      <c r="G120" s="7"/>
      <c r="H120" s="1"/>
      <c r="I120" s="1"/>
      <c r="J120" s="1"/>
      <c r="K120" s="1"/>
    </row>
    <row r="121" spans="1:11" x14ac:dyDescent="0.4">
      <c r="A121" s="3"/>
      <c r="B121" s="1"/>
      <c r="C121" s="1"/>
      <c r="D121" s="1"/>
      <c r="E121" s="1"/>
      <c r="F121" s="7"/>
      <c r="G121" s="7"/>
      <c r="H121" s="1"/>
      <c r="I121" s="1"/>
      <c r="J121" s="1"/>
      <c r="K121" s="1"/>
    </row>
    <row r="122" spans="1:11" x14ac:dyDescent="0.4">
      <c r="A122" s="3"/>
      <c r="B122" s="1"/>
      <c r="C122" s="1"/>
      <c r="D122" s="1"/>
      <c r="E122" s="1"/>
      <c r="F122" s="7"/>
      <c r="G122" s="7"/>
      <c r="H122" s="1"/>
      <c r="I122" s="1"/>
      <c r="J122" s="1"/>
      <c r="K122" s="1"/>
    </row>
    <row r="123" spans="1:11" x14ac:dyDescent="0.4">
      <c r="A123" s="3"/>
      <c r="B123" s="1"/>
      <c r="C123" s="1"/>
      <c r="D123" s="1"/>
      <c r="E123" s="1"/>
      <c r="F123" s="7"/>
      <c r="G123" s="7"/>
      <c r="H123" s="1"/>
      <c r="I123" s="1"/>
      <c r="J123" s="1"/>
      <c r="K123" s="1"/>
    </row>
    <row r="124" spans="1:11" x14ac:dyDescent="0.4">
      <c r="A124" s="3"/>
      <c r="B124" s="1"/>
      <c r="C124" s="1"/>
      <c r="D124" s="1"/>
      <c r="E124" s="1"/>
      <c r="F124" s="7"/>
      <c r="G124" s="7"/>
      <c r="H124" s="1"/>
      <c r="I124" s="1"/>
      <c r="J124" s="1"/>
      <c r="K124" s="1"/>
    </row>
    <row r="125" spans="1:11" x14ac:dyDescent="0.4">
      <c r="A125" s="3"/>
      <c r="B125" s="1"/>
      <c r="C125" s="1"/>
      <c r="D125" s="1"/>
      <c r="E125" s="1"/>
      <c r="F125" s="7"/>
      <c r="G125" s="7"/>
      <c r="H125" s="1"/>
      <c r="I125" s="1"/>
      <c r="J125" s="1"/>
      <c r="K125" s="1"/>
    </row>
    <row r="126" spans="1:11" x14ac:dyDescent="0.4">
      <c r="A126" s="3"/>
      <c r="B126" s="1"/>
      <c r="C126" s="1"/>
      <c r="D126" s="1"/>
      <c r="E126" s="1"/>
      <c r="F126" s="7"/>
      <c r="G126" s="7"/>
      <c r="H126" s="1"/>
      <c r="I126" s="1"/>
      <c r="J126" s="1"/>
      <c r="K126" s="1"/>
    </row>
    <row r="127" spans="1:11" x14ac:dyDescent="0.4">
      <c r="A127" s="3"/>
      <c r="B127" s="1"/>
      <c r="C127" s="1"/>
      <c r="D127" s="1"/>
      <c r="E127" s="1"/>
      <c r="F127" s="7"/>
      <c r="G127" s="7"/>
      <c r="H127" s="1"/>
      <c r="I127" s="1"/>
      <c r="J127" s="1"/>
      <c r="K127" s="1"/>
    </row>
    <row r="128" spans="1:11" x14ac:dyDescent="0.4">
      <c r="A128" s="3"/>
      <c r="B128" s="1"/>
      <c r="C128" s="1"/>
      <c r="D128" s="1"/>
      <c r="E128" s="1"/>
      <c r="F128" s="7"/>
      <c r="G128" s="7"/>
      <c r="H128" s="1"/>
      <c r="I128" s="1"/>
      <c r="J128" s="1"/>
      <c r="K128" s="1"/>
    </row>
    <row r="129" spans="1:11" x14ac:dyDescent="0.4">
      <c r="A129" s="3"/>
      <c r="B129" s="1"/>
      <c r="C129" s="1"/>
      <c r="D129" s="1"/>
      <c r="E129" s="1"/>
      <c r="F129" s="7"/>
      <c r="G129" s="7"/>
      <c r="H129" s="1"/>
      <c r="I129" s="1"/>
      <c r="J129" s="1"/>
      <c r="K129" s="1"/>
    </row>
    <row r="130" spans="1:11" x14ac:dyDescent="0.4">
      <c r="A130" s="3"/>
      <c r="B130" s="1"/>
      <c r="C130" s="1"/>
      <c r="D130" s="1"/>
      <c r="E130" s="1"/>
      <c r="F130" s="7"/>
      <c r="G130" s="7"/>
      <c r="H130" s="1"/>
      <c r="I130" s="1"/>
      <c r="J130" s="1"/>
      <c r="K130" s="1"/>
    </row>
    <row r="131" spans="1:11" x14ac:dyDescent="0.4">
      <c r="A131" s="3"/>
      <c r="B131" s="1"/>
      <c r="C131" s="1"/>
      <c r="D131" s="1"/>
      <c r="E131" s="1"/>
      <c r="F131" s="7"/>
      <c r="G131" s="7"/>
      <c r="H131" s="1"/>
      <c r="I131" s="1"/>
      <c r="J131" s="1"/>
      <c r="K131" s="1"/>
    </row>
    <row r="132" spans="1:11" x14ac:dyDescent="0.4">
      <c r="A132" s="3"/>
      <c r="B132" s="1"/>
      <c r="C132" s="1"/>
      <c r="D132" s="1"/>
      <c r="E132" s="1"/>
      <c r="F132" s="7"/>
      <c r="G132" s="7"/>
      <c r="H132" s="1"/>
      <c r="I132" s="1"/>
      <c r="J132" s="1"/>
      <c r="K132" s="1"/>
    </row>
    <row r="133" spans="1:11" x14ac:dyDescent="0.4">
      <c r="A133" s="3"/>
      <c r="B133" s="1"/>
      <c r="C133" s="1"/>
      <c r="D133" s="1"/>
      <c r="E133" s="1"/>
      <c r="F133" s="7"/>
      <c r="G133" s="7"/>
      <c r="H133" s="1"/>
      <c r="I133" s="1"/>
      <c r="J133" s="1"/>
      <c r="K133" s="1"/>
    </row>
    <row r="134" spans="1:11" x14ac:dyDescent="0.4">
      <c r="A134" s="3"/>
      <c r="B134" s="1"/>
      <c r="C134" s="1"/>
      <c r="D134" s="1"/>
      <c r="E134" s="1"/>
      <c r="F134" s="7"/>
      <c r="G134" s="7"/>
      <c r="H134" s="1"/>
      <c r="I134" s="1"/>
      <c r="J134" s="1"/>
      <c r="K134" s="1"/>
    </row>
    <row r="135" spans="1:11" x14ac:dyDescent="0.4">
      <c r="A135" s="3"/>
      <c r="B135" s="1"/>
      <c r="C135" s="1"/>
      <c r="D135" s="1"/>
      <c r="E135" s="1"/>
      <c r="F135" s="7"/>
      <c r="G135" s="7"/>
      <c r="H135" s="1"/>
      <c r="I135" s="1"/>
      <c r="J135" s="1"/>
      <c r="K135" s="1"/>
    </row>
    <row r="136" spans="1:11" x14ac:dyDescent="0.4">
      <c r="A136" s="3"/>
      <c r="B136" s="1"/>
      <c r="C136" s="1"/>
      <c r="D136" s="1"/>
      <c r="E136" s="1"/>
      <c r="F136" s="7"/>
      <c r="G136" s="7"/>
      <c r="H136" s="1"/>
      <c r="I136" s="1"/>
      <c r="J136" s="1"/>
      <c r="K136" s="1"/>
    </row>
    <row r="137" spans="1:11" x14ac:dyDescent="0.4">
      <c r="A137" s="3"/>
      <c r="B137" s="1"/>
      <c r="C137" s="1"/>
      <c r="D137" s="1"/>
      <c r="E137" s="1"/>
      <c r="F137" s="7"/>
      <c r="G137" s="7"/>
      <c r="H137" s="1"/>
      <c r="I137" s="1"/>
      <c r="J137" s="1"/>
      <c r="K137" s="1"/>
    </row>
    <row r="138" spans="1:11" x14ac:dyDescent="0.4">
      <c r="A138" s="3"/>
      <c r="B138" s="1"/>
      <c r="C138" s="1"/>
      <c r="D138" s="1"/>
      <c r="E138" s="1"/>
      <c r="F138" s="7"/>
      <c r="G138" s="7"/>
      <c r="H138" s="1"/>
      <c r="I138" s="1"/>
      <c r="J138" s="1"/>
      <c r="K138" s="1"/>
    </row>
    <row r="139" spans="1:11" x14ac:dyDescent="0.4">
      <c r="A139" s="3"/>
      <c r="B139" s="1"/>
      <c r="C139" s="1"/>
      <c r="D139" s="1"/>
      <c r="E139" s="1"/>
      <c r="F139" s="7"/>
      <c r="G139" s="7"/>
      <c r="H139" s="1"/>
      <c r="I139" s="1"/>
      <c r="J139" s="1"/>
      <c r="K139" s="1"/>
    </row>
    <row r="140" spans="1:11" x14ac:dyDescent="0.4">
      <c r="A140" s="3"/>
      <c r="B140" s="1"/>
      <c r="C140" s="1"/>
      <c r="D140" s="1"/>
      <c r="E140" s="1"/>
      <c r="F140" s="7"/>
      <c r="G140" s="7"/>
      <c r="H140" s="1"/>
      <c r="I140" s="1"/>
      <c r="J140" s="1"/>
      <c r="K140" s="1"/>
    </row>
    <row r="141" spans="1:11" x14ac:dyDescent="0.4">
      <c r="A141" s="3"/>
      <c r="B141" s="1"/>
      <c r="C141" s="1"/>
      <c r="D141" s="1"/>
      <c r="E141" s="1"/>
      <c r="F141" s="7"/>
      <c r="G141" s="7"/>
      <c r="H141" s="1"/>
      <c r="I141" s="1"/>
      <c r="J141" s="1"/>
      <c r="K141" s="1"/>
    </row>
    <row r="142" spans="1:11" x14ac:dyDescent="0.4">
      <c r="A142" s="3"/>
      <c r="B142" s="1"/>
      <c r="C142" s="1"/>
      <c r="D142" s="1"/>
      <c r="E142" s="1"/>
      <c r="F142" s="7"/>
      <c r="G142" s="7"/>
      <c r="H142" s="1"/>
      <c r="I142" s="1"/>
      <c r="J142" s="1"/>
      <c r="K142" s="1"/>
    </row>
    <row r="143" spans="1:11" x14ac:dyDescent="0.4">
      <c r="A143" s="3"/>
      <c r="B143" s="1"/>
      <c r="C143" s="1"/>
      <c r="D143" s="1"/>
      <c r="E143" s="1"/>
      <c r="F143" s="7"/>
      <c r="G143" s="7"/>
      <c r="H143" s="1"/>
      <c r="I143" s="1"/>
      <c r="J143" s="1"/>
      <c r="K143" s="1"/>
    </row>
    <row r="144" spans="1:11" x14ac:dyDescent="0.4">
      <c r="A144" s="3"/>
      <c r="B144" s="1"/>
      <c r="C144" s="1"/>
      <c r="D144" s="1"/>
      <c r="E144" s="1"/>
      <c r="F144" s="7"/>
      <c r="G144" s="7"/>
      <c r="H144" s="1"/>
      <c r="I144" s="1"/>
      <c r="J144" s="1"/>
      <c r="K144" s="1"/>
    </row>
    <row r="145" spans="1:11" x14ac:dyDescent="0.4">
      <c r="A145" s="3"/>
      <c r="B145" s="1"/>
      <c r="C145" s="1"/>
      <c r="D145" s="1"/>
      <c r="E145" s="1"/>
      <c r="F145" s="7"/>
      <c r="G145" s="7"/>
      <c r="H145" s="1"/>
      <c r="I145" s="1"/>
      <c r="J145" s="1"/>
      <c r="K145" s="1"/>
    </row>
    <row r="146" spans="1:11" x14ac:dyDescent="0.4">
      <c r="A146" s="3"/>
      <c r="B146" s="1"/>
      <c r="C146" s="1"/>
      <c r="D146" s="1"/>
      <c r="E146" s="1"/>
      <c r="F146" s="7"/>
      <c r="G146" s="7"/>
      <c r="H146" s="1"/>
      <c r="I146" s="1"/>
      <c r="J146" s="1"/>
      <c r="K146" s="1"/>
    </row>
    <row r="147" spans="1:11" x14ac:dyDescent="0.4">
      <c r="A147" s="3"/>
      <c r="B147" s="1"/>
      <c r="C147" s="1"/>
      <c r="D147" s="1"/>
      <c r="E147" s="1"/>
      <c r="F147" s="7"/>
      <c r="G147" s="7"/>
      <c r="H147" s="1"/>
      <c r="I147" s="1"/>
      <c r="J147" s="1"/>
      <c r="K147" s="1"/>
    </row>
    <row r="148" spans="1:11" x14ac:dyDescent="0.4">
      <c r="A148" s="3"/>
      <c r="B148" s="1"/>
      <c r="C148" s="1"/>
      <c r="D148" s="1"/>
      <c r="E148" s="1"/>
      <c r="F148" s="7"/>
      <c r="G148" s="7"/>
      <c r="H148" s="1"/>
      <c r="I148" s="1"/>
      <c r="J148" s="1"/>
      <c r="K148" s="1"/>
    </row>
    <row r="149" spans="1:11" x14ac:dyDescent="0.4">
      <c r="A149" s="3"/>
      <c r="B149" s="1"/>
      <c r="C149" s="1"/>
      <c r="D149" s="1"/>
      <c r="E149" s="1"/>
      <c r="F149" s="7"/>
      <c r="G149" s="7"/>
      <c r="H149" s="1"/>
      <c r="I149" s="1"/>
      <c r="J149" s="1"/>
      <c r="K149" s="1"/>
    </row>
    <row r="150" spans="1:11" x14ac:dyDescent="0.4">
      <c r="A150" s="3"/>
      <c r="B150" s="1"/>
      <c r="C150" s="1"/>
      <c r="D150" s="1"/>
      <c r="E150" s="1"/>
      <c r="F150" s="7"/>
      <c r="G150" s="7"/>
      <c r="H150" s="1"/>
      <c r="I150" s="1"/>
      <c r="J150" s="1"/>
      <c r="K150" s="1"/>
    </row>
    <row r="151" spans="1:11" x14ac:dyDescent="0.4">
      <c r="A151" s="3"/>
      <c r="B151" s="1"/>
      <c r="C151" s="1"/>
      <c r="D151" s="1"/>
      <c r="E151" s="1"/>
      <c r="F151" s="7"/>
      <c r="G151" s="7"/>
      <c r="H151" s="1"/>
      <c r="I151" s="1"/>
      <c r="J151" s="1"/>
      <c r="K151" s="1"/>
    </row>
    <row r="152" spans="1:11" x14ac:dyDescent="0.4">
      <c r="A152" s="3"/>
      <c r="B152" s="1"/>
      <c r="C152" s="1"/>
      <c r="D152" s="1"/>
      <c r="E152" s="1"/>
      <c r="F152" s="7"/>
      <c r="G152" s="7"/>
      <c r="H152" s="1"/>
      <c r="I152" s="1"/>
      <c r="J152" s="1"/>
      <c r="K152" s="1"/>
    </row>
    <row r="153" spans="1:11" x14ac:dyDescent="0.4">
      <c r="A153" s="3"/>
      <c r="B153" s="1"/>
      <c r="C153" s="1"/>
      <c r="D153" s="1"/>
      <c r="E153" s="1"/>
      <c r="F153" s="7"/>
      <c r="G153" s="7"/>
      <c r="H153" s="1"/>
      <c r="I153" s="1"/>
      <c r="J153" s="1"/>
      <c r="K153" s="1"/>
    </row>
    <row r="154" spans="1:11" x14ac:dyDescent="0.4">
      <c r="A154" s="3"/>
      <c r="B154" s="1"/>
      <c r="C154" s="1"/>
      <c r="D154" s="1"/>
      <c r="E154" s="1"/>
      <c r="F154" s="7"/>
      <c r="G154" s="7"/>
      <c r="H154" s="1"/>
      <c r="I154" s="1"/>
      <c r="J154" s="1"/>
      <c r="K154" s="1"/>
    </row>
    <row r="155" spans="1:11" x14ac:dyDescent="0.4">
      <c r="A155" s="3"/>
      <c r="B155" s="1"/>
      <c r="C155" s="1"/>
      <c r="D155" s="1"/>
      <c r="E155" s="1"/>
      <c r="F155" s="7"/>
      <c r="G155" s="7"/>
      <c r="H155" s="1"/>
      <c r="I155" s="1"/>
      <c r="J155" s="1"/>
      <c r="K155" s="1"/>
    </row>
    <row r="156" spans="1:11" x14ac:dyDescent="0.4">
      <c r="A156" s="3"/>
      <c r="B156" s="1"/>
      <c r="C156" s="1"/>
      <c r="D156" s="1"/>
      <c r="E156" s="1"/>
      <c r="F156" s="7"/>
      <c r="G156" s="7"/>
      <c r="H156" s="1"/>
      <c r="I156" s="1"/>
      <c r="J156" s="1"/>
      <c r="K156" s="1"/>
    </row>
    <row r="157" spans="1:11" x14ac:dyDescent="0.4">
      <c r="A157" s="3"/>
      <c r="B157" s="1"/>
      <c r="C157" s="1"/>
      <c r="D157" s="1"/>
      <c r="E157" s="1"/>
      <c r="F157" s="7"/>
      <c r="G157" s="7"/>
      <c r="H157" s="1"/>
      <c r="I157" s="1"/>
      <c r="J157" s="1"/>
      <c r="K157" s="1"/>
    </row>
    <row r="158" spans="1:11" x14ac:dyDescent="0.4">
      <c r="A158" s="3"/>
      <c r="B158" s="1"/>
      <c r="C158" s="1"/>
      <c r="D158" s="1"/>
      <c r="E158" s="1"/>
      <c r="F158" s="7"/>
      <c r="G158" s="7"/>
      <c r="H158" s="1"/>
      <c r="I158" s="1"/>
      <c r="J158" s="1"/>
      <c r="K158" s="1"/>
    </row>
    <row r="159" spans="1:11" x14ac:dyDescent="0.4">
      <c r="A159" s="3"/>
      <c r="B159" s="1"/>
      <c r="C159" s="1"/>
      <c r="D159" s="1"/>
      <c r="E159" s="1"/>
      <c r="F159" s="7"/>
      <c r="G159" s="7"/>
      <c r="H159" s="1"/>
      <c r="I159" s="1"/>
      <c r="J159" s="1"/>
      <c r="K159" s="1"/>
    </row>
    <row r="160" spans="1:11" x14ac:dyDescent="0.4">
      <c r="A160" s="3"/>
      <c r="B160" s="1"/>
      <c r="C160" s="1"/>
      <c r="D160" s="1"/>
      <c r="E160" s="1"/>
      <c r="F160" s="7"/>
      <c r="G160" s="7"/>
      <c r="H160" s="1"/>
      <c r="I160" s="1"/>
      <c r="J160" s="1"/>
      <c r="K160" s="1"/>
    </row>
    <row r="161" spans="1:11" x14ac:dyDescent="0.4">
      <c r="A161" s="3"/>
      <c r="B161" s="1"/>
      <c r="C161" s="1"/>
      <c r="D161" s="1"/>
      <c r="E161" s="1"/>
      <c r="F161" s="7"/>
      <c r="G161" s="7"/>
      <c r="H161" s="1"/>
      <c r="I161" s="1"/>
      <c r="J161" s="1"/>
      <c r="K161" s="1"/>
    </row>
    <row r="162" spans="1:11" x14ac:dyDescent="0.4">
      <c r="A162" s="3"/>
      <c r="B162" s="1"/>
      <c r="C162" s="1"/>
      <c r="D162" s="1"/>
      <c r="E162" s="1"/>
      <c r="F162" s="7"/>
      <c r="G162" s="7"/>
      <c r="H162" s="1"/>
      <c r="I162" s="1"/>
      <c r="J162" s="1"/>
      <c r="K162" s="1"/>
    </row>
    <row r="163" spans="1:11" x14ac:dyDescent="0.4">
      <c r="A163" s="3"/>
      <c r="B163" s="1"/>
      <c r="C163" s="1"/>
      <c r="D163" s="1"/>
      <c r="E163" s="1"/>
      <c r="F163" s="7"/>
      <c r="G163" s="7"/>
      <c r="H163" s="1"/>
      <c r="I163" s="1"/>
      <c r="J163" s="1"/>
      <c r="K163" s="1"/>
    </row>
    <row r="164" spans="1:11" x14ac:dyDescent="0.4">
      <c r="A164" s="3"/>
      <c r="B164" s="1"/>
      <c r="C164" s="1"/>
      <c r="D164" s="1"/>
      <c r="E164" s="1"/>
      <c r="F164" s="7"/>
      <c r="G164" s="7"/>
      <c r="H164" s="1"/>
      <c r="I164" s="1"/>
      <c r="J164" s="1"/>
      <c r="K164" s="1"/>
    </row>
    <row r="165" spans="1:11" x14ac:dyDescent="0.4">
      <c r="A165" s="3"/>
      <c r="B165" s="1"/>
      <c r="C165" s="1"/>
      <c r="D165" s="1"/>
      <c r="E165" s="1"/>
      <c r="F165" s="7"/>
      <c r="G165" s="7"/>
      <c r="H165" s="1"/>
      <c r="I165" s="1"/>
      <c r="J165" s="1"/>
      <c r="K165" s="1"/>
    </row>
    <row r="166" spans="1:11" x14ac:dyDescent="0.4">
      <c r="A166" s="3"/>
      <c r="B166" s="1"/>
      <c r="C166" s="1"/>
      <c r="D166" s="1"/>
      <c r="E166" s="1"/>
      <c r="F166" s="7"/>
      <c r="G166" s="7"/>
      <c r="H166" s="1"/>
      <c r="I166" s="1"/>
      <c r="J166" s="1"/>
      <c r="K166" s="1"/>
    </row>
    <row r="167" spans="1:11" x14ac:dyDescent="0.4">
      <c r="A167" s="3"/>
      <c r="B167" s="1"/>
      <c r="C167" s="1"/>
      <c r="D167" s="1"/>
      <c r="E167" s="1"/>
      <c r="F167" s="7"/>
      <c r="G167" s="7"/>
      <c r="H167" s="1"/>
      <c r="I167" s="1"/>
      <c r="J167" s="1"/>
      <c r="K167" s="1"/>
    </row>
    <row r="168" spans="1:11" x14ac:dyDescent="0.4">
      <c r="A168" s="3"/>
      <c r="B168" s="1"/>
      <c r="C168" s="1"/>
      <c r="D168" s="1"/>
      <c r="E168" s="1"/>
      <c r="F168" s="7"/>
      <c r="G168" s="7"/>
      <c r="H168" s="1"/>
      <c r="I168" s="1"/>
      <c r="J168" s="1"/>
      <c r="K168" s="1"/>
    </row>
    <row r="169" spans="1:11" x14ac:dyDescent="0.4">
      <c r="A169" s="3"/>
      <c r="B169" s="1"/>
      <c r="C169" s="1"/>
      <c r="D169" s="1"/>
      <c r="E169" s="1"/>
      <c r="F169" s="7"/>
      <c r="G169" s="7"/>
      <c r="H169" s="1"/>
      <c r="I169" s="1"/>
      <c r="J169" s="1"/>
      <c r="K169" s="1"/>
    </row>
    <row r="170" spans="1:11" x14ac:dyDescent="0.4">
      <c r="A170" s="3"/>
      <c r="B170" s="1"/>
      <c r="C170" s="1"/>
      <c r="D170" s="1"/>
      <c r="E170" s="1"/>
      <c r="F170" s="7"/>
      <c r="G170" s="7"/>
      <c r="H170" s="1"/>
      <c r="I170" s="1"/>
      <c r="J170" s="1"/>
      <c r="K170" s="1"/>
    </row>
    <row r="171" spans="1:11" x14ac:dyDescent="0.4">
      <c r="A171" s="3"/>
      <c r="B171" s="1"/>
      <c r="C171" s="1"/>
      <c r="D171" s="1"/>
      <c r="E171" s="1"/>
      <c r="F171" s="7"/>
      <c r="G171" s="7"/>
      <c r="H171" s="1"/>
      <c r="I171" s="1"/>
      <c r="J171" s="1"/>
      <c r="K171" s="1"/>
    </row>
    <row r="172" spans="1:11" x14ac:dyDescent="0.4">
      <c r="A172" s="3"/>
      <c r="B172" s="1"/>
      <c r="C172" s="1"/>
      <c r="D172" s="1"/>
      <c r="E172" s="1"/>
      <c r="F172" s="7"/>
      <c r="G172" s="7"/>
      <c r="H172" s="1"/>
      <c r="I172" s="1"/>
      <c r="J172" s="1"/>
      <c r="K172" s="1"/>
    </row>
    <row r="173" spans="1:11" x14ac:dyDescent="0.4">
      <c r="A173" s="3"/>
      <c r="B173" s="1"/>
      <c r="C173" s="1"/>
      <c r="D173" s="1"/>
      <c r="E173" s="1"/>
      <c r="F173" s="7"/>
      <c r="G173" s="7"/>
      <c r="H173" s="1"/>
      <c r="I173" s="1"/>
      <c r="J173" s="1"/>
      <c r="K173" s="1"/>
    </row>
    <row r="174" spans="1:11" x14ac:dyDescent="0.4">
      <c r="A174" s="3"/>
      <c r="B174" s="1"/>
      <c r="C174" s="1"/>
      <c r="D174" s="1"/>
      <c r="E174" s="1"/>
      <c r="F174" s="7"/>
      <c r="G174" s="7"/>
      <c r="H174" s="1"/>
      <c r="I174" s="1"/>
      <c r="J174" s="1"/>
      <c r="K174" s="1"/>
    </row>
    <row r="175" spans="1:11" x14ac:dyDescent="0.4">
      <c r="A175" s="3"/>
      <c r="B175" s="1"/>
      <c r="C175" s="1"/>
      <c r="D175" s="1"/>
      <c r="E175" s="1"/>
      <c r="F175" s="7"/>
      <c r="G175" s="7"/>
      <c r="H175" s="1"/>
      <c r="I175" s="1"/>
      <c r="J175" s="1"/>
      <c r="K175" s="1"/>
    </row>
    <row r="176" spans="1:11" x14ac:dyDescent="0.4">
      <c r="A176" s="3"/>
      <c r="B176" s="1"/>
      <c r="C176" s="1"/>
      <c r="D176" s="1"/>
      <c r="E176" s="1"/>
      <c r="F176" s="7"/>
      <c r="G176" s="7"/>
      <c r="H176" s="1"/>
      <c r="I176" s="1"/>
      <c r="J176" s="1"/>
      <c r="K176" s="1"/>
    </row>
    <row r="177" spans="1:11" x14ac:dyDescent="0.4">
      <c r="A177" s="3"/>
      <c r="B177" s="1"/>
      <c r="C177" s="1"/>
      <c r="D177" s="1"/>
      <c r="E177" s="1"/>
      <c r="F177" s="7"/>
      <c r="G177" s="7"/>
      <c r="H177" s="1"/>
      <c r="I177" s="1"/>
      <c r="J177" s="1"/>
      <c r="K177" s="1"/>
    </row>
    <row r="178" spans="1:11" x14ac:dyDescent="0.4">
      <c r="A178" s="3"/>
      <c r="B178" s="1"/>
      <c r="C178" s="1"/>
      <c r="D178" s="1"/>
      <c r="E178" s="1"/>
      <c r="F178" s="7"/>
      <c r="G178" s="7"/>
      <c r="H178" s="1"/>
      <c r="I178" s="1"/>
      <c r="J178" s="1"/>
      <c r="K178" s="1"/>
    </row>
    <row r="179" spans="1:11" x14ac:dyDescent="0.4">
      <c r="A179" s="3"/>
      <c r="B179" s="1"/>
      <c r="C179" s="1"/>
      <c r="D179" s="1"/>
      <c r="E179" s="1"/>
      <c r="F179" s="7"/>
      <c r="G179" s="7"/>
      <c r="H179" s="1"/>
      <c r="I179" s="1"/>
      <c r="J179" s="1"/>
      <c r="K179" s="1"/>
    </row>
    <row r="180" spans="1:11" x14ac:dyDescent="0.4">
      <c r="A180" s="3"/>
      <c r="B180" s="1"/>
      <c r="C180" s="1"/>
      <c r="D180" s="1"/>
      <c r="E180" s="1"/>
      <c r="F180" s="7"/>
      <c r="G180" s="7"/>
      <c r="H180" s="1"/>
      <c r="I180" s="1"/>
      <c r="J180" s="1"/>
      <c r="K180" s="1"/>
    </row>
    <row r="181" spans="1:11" x14ac:dyDescent="0.4">
      <c r="A181" s="3"/>
      <c r="B181" s="1"/>
      <c r="C181" s="1"/>
      <c r="D181" s="1"/>
      <c r="E181" s="1"/>
      <c r="F181" s="7"/>
      <c r="G181" s="7"/>
      <c r="H181" s="1"/>
      <c r="I181" s="1"/>
      <c r="J181" s="1"/>
      <c r="K181" s="1"/>
    </row>
    <row r="182" spans="1:11" x14ac:dyDescent="0.4">
      <c r="A182" s="3"/>
      <c r="B182" s="1"/>
      <c r="C182" s="1"/>
      <c r="D182" s="1"/>
      <c r="E182" s="1"/>
      <c r="F182" s="7"/>
      <c r="G182" s="7"/>
      <c r="H182" s="1"/>
      <c r="I182" s="1"/>
      <c r="J182" s="1"/>
      <c r="K182" s="1"/>
    </row>
    <row r="183" spans="1:11" x14ac:dyDescent="0.4">
      <c r="A183" s="3"/>
      <c r="B183" s="1"/>
      <c r="C183" s="1"/>
      <c r="D183" s="1"/>
      <c r="E183" s="1"/>
      <c r="F183" s="7"/>
      <c r="G183" s="7"/>
      <c r="H183" s="1"/>
      <c r="I183" s="1"/>
      <c r="J183" s="1"/>
      <c r="K183" s="1"/>
    </row>
    <row r="184" spans="1:11" x14ac:dyDescent="0.4">
      <c r="A184" s="3"/>
      <c r="B184" s="1"/>
      <c r="C184" s="1"/>
      <c r="D184" s="1"/>
      <c r="E184" s="1"/>
      <c r="F184" s="7"/>
      <c r="G184" s="7"/>
      <c r="H184" s="1"/>
      <c r="I184" s="1"/>
      <c r="J184" s="1"/>
      <c r="K184" s="1"/>
    </row>
    <row r="185" spans="1:11" x14ac:dyDescent="0.4">
      <c r="A185" s="3"/>
      <c r="B185" s="1"/>
      <c r="C185" s="1"/>
      <c r="D185" s="1"/>
      <c r="E185" s="1"/>
      <c r="F185" s="7"/>
      <c r="G185" s="7"/>
      <c r="H185" s="1"/>
      <c r="I185" s="1"/>
      <c r="J185" s="1"/>
      <c r="K185" s="1"/>
    </row>
    <row r="186" spans="1:11" x14ac:dyDescent="0.4">
      <c r="A186" s="3"/>
      <c r="B186" s="1"/>
      <c r="C186" s="1"/>
      <c r="D186" s="1"/>
      <c r="E186" s="1"/>
      <c r="F186" s="7"/>
      <c r="G186" s="7"/>
      <c r="H186" s="1"/>
      <c r="I186" s="1"/>
      <c r="J186" s="1"/>
      <c r="K186" s="1"/>
    </row>
    <row r="187" spans="1:11" x14ac:dyDescent="0.4">
      <c r="A187" s="3"/>
      <c r="B187" s="1"/>
      <c r="C187" s="1"/>
      <c r="D187" s="1"/>
      <c r="E187" s="1"/>
      <c r="F187" s="7"/>
      <c r="G187" s="7"/>
      <c r="H187" s="1"/>
      <c r="I187" s="1"/>
      <c r="J187" s="1"/>
      <c r="K187" s="1"/>
    </row>
    <row r="188" spans="1:11" x14ac:dyDescent="0.4">
      <c r="A188" s="3"/>
      <c r="B188" s="1"/>
      <c r="C188" s="1"/>
      <c r="D188" s="1"/>
      <c r="E188" s="1"/>
      <c r="F188" s="7"/>
      <c r="G188" s="7"/>
      <c r="H188" s="1"/>
      <c r="I188" s="1"/>
      <c r="J188" s="1"/>
      <c r="K188" s="1"/>
    </row>
    <row r="189" spans="1:11" x14ac:dyDescent="0.4">
      <c r="A189" s="3"/>
      <c r="B189" s="1"/>
      <c r="C189" s="1"/>
      <c r="D189" s="1"/>
      <c r="E189" s="1"/>
      <c r="F189" s="7"/>
      <c r="G189" s="7"/>
      <c r="H189" s="1"/>
      <c r="I189" s="1"/>
      <c r="J189" s="1"/>
      <c r="K189" s="1"/>
    </row>
    <row r="190" spans="1:11" x14ac:dyDescent="0.4">
      <c r="A190" s="3"/>
      <c r="B190" s="1"/>
      <c r="C190" s="1"/>
      <c r="D190" s="1"/>
      <c r="E190" s="1"/>
      <c r="F190" s="7"/>
      <c r="G190" s="7"/>
      <c r="H190" s="1"/>
      <c r="I190" s="1"/>
      <c r="J190" s="1"/>
      <c r="K190" s="1"/>
    </row>
    <row r="191" spans="1:11" x14ac:dyDescent="0.4">
      <c r="A191" s="3"/>
      <c r="B191" s="1"/>
      <c r="C191" s="1"/>
      <c r="D191" s="1"/>
      <c r="E191" s="1"/>
      <c r="F191" s="7"/>
      <c r="G191" s="7"/>
      <c r="H191" s="1"/>
      <c r="I191" s="1"/>
      <c r="J191" s="1"/>
      <c r="K191" s="1"/>
    </row>
    <row r="192" spans="1:11" x14ac:dyDescent="0.4">
      <c r="A192" s="3"/>
      <c r="B192" s="1"/>
      <c r="C192" s="1"/>
      <c r="D192" s="1"/>
      <c r="E192" s="1"/>
      <c r="F192" s="7"/>
      <c r="G192" s="7"/>
      <c r="H192" s="1"/>
      <c r="I192" s="1"/>
      <c r="J192" s="1"/>
      <c r="K192" s="1"/>
    </row>
    <row r="193" spans="1:11" x14ac:dyDescent="0.4">
      <c r="A193" s="3"/>
      <c r="B193" s="1"/>
      <c r="C193" s="1"/>
      <c r="D193" s="1"/>
      <c r="E193" s="1"/>
      <c r="F193" s="7"/>
      <c r="G193" s="7"/>
      <c r="H193" s="1"/>
      <c r="I193" s="1"/>
      <c r="J193" s="1"/>
      <c r="K193" s="1"/>
    </row>
    <row r="194" spans="1:11" x14ac:dyDescent="0.4">
      <c r="A194" s="3"/>
      <c r="B194" s="1"/>
      <c r="C194" s="1"/>
      <c r="D194" s="1"/>
      <c r="E194" s="1"/>
      <c r="F194" s="7"/>
      <c r="G194" s="7"/>
      <c r="H194" s="1"/>
      <c r="I194" s="1"/>
      <c r="J194" s="1"/>
      <c r="K194" s="1"/>
    </row>
    <row r="195" spans="1:11" x14ac:dyDescent="0.4">
      <c r="A195" s="3"/>
      <c r="B195" s="1"/>
      <c r="C195" s="1"/>
      <c r="D195" s="1"/>
      <c r="E195" s="1"/>
      <c r="F195" s="7"/>
      <c r="G195" s="7"/>
      <c r="H195" s="1"/>
      <c r="I195" s="1"/>
      <c r="J195" s="1"/>
      <c r="K195" s="1"/>
    </row>
    <row r="196" spans="1:11" x14ac:dyDescent="0.4">
      <c r="A196" s="3"/>
      <c r="B196" s="1"/>
      <c r="C196" s="1"/>
      <c r="D196" s="1"/>
      <c r="E196" s="1"/>
      <c r="F196" s="7"/>
      <c r="G196" s="7"/>
      <c r="H196" s="1"/>
      <c r="I196" s="1"/>
      <c r="J196" s="1"/>
      <c r="K196" s="1"/>
    </row>
    <row r="197" spans="1:11" x14ac:dyDescent="0.4">
      <c r="A197" s="3"/>
      <c r="B197" s="1"/>
      <c r="C197" s="1"/>
      <c r="D197" s="1"/>
      <c r="E197" s="1"/>
      <c r="F197" s="7"/>
      <c r="G197" s="7"/>
      <c r="H197" s="1"/>
      <c r="I197" s="1"/>
      <c r="J197" s="1"/>
      <c r="K197" s="1"/>
    </row>
    <row r="198" spans="1:11" x14ac:dyDescent="0.4">
      <c r="A198" s="3"/>
      <c r="B198" s="1"/>
      <c r="C198" s="1"/>
      <c r="D198" s="1"/>
      <c r="E198" s="1"/>
      <c r="F198" s="7"/>
      <c r="G198" s="7"/>
      <c r="H198" s="1"/>
      <c r="I198" s="1"/>
      <c r="J198" s="1"/>
      <c r="K198" s="1"/>
    </row>
    <row r="199" spans="1:11" x14ac:dyDescent="0.4">
      <c r="A199" s="3"/>
      <c r="B199" s="1"/>
      <c r="C199" s="1"/>
      <c r="D199" s="1"/>
      <c r="E199" s="1"/>
      <c r="F199" s="7"/>
      <c r="G199" s="7"/>
      <c r="H199" s="1"/>
      <c r="I199" s="1"/>
      <c r="J199" s="1"/>
      <c r="K199" s="1"/>
    </row>
    <row r="200" spans="1:11" x14ac:dyDescent="0.4">
      <c r="A200" s="3"/>
      <c r="B200" s="1"/>
      <c r="C200" s="1"/>
      <c r="D200" s="1"/>
      <c r="E200" s="1"/>
      <c r="F200" s="7"/>
      <c r="G200" s="7"/>
      <c r="H200" s="1"/>
      <c r="I200" s="1"/>
      <c r="J200" s="1"/>
      <c r="K200" s="1"/>
    </row>
    <row r="201" spans="1:11" x14ac:dyDescent="0.4">
      <c r="A201" s="3"/>
      <c r="B201" s="1"/>
      <c r="C201" s="1"/>
      <c r="D201" s="1"/>
      <c r="E201" s="1"/>
      <c r="F201" s="7"/>
      <c r="G201" s="7"/>
      <c r="H201" s="1"/>
      <c r="I201" s="1"/>
      <c r="J201" s="1"/>
      <c r="K201" s="1"/>
    </row>
    <row r="202" spans="1:11" x14ac:dyDescent="0.4">
      <c r="A202" s="3"/>
      <c r="B202" s="1"/>
      <c r="C202" s="1"/>
      <c r="D202" s="1"/>
      <c r="E202" s="1"/>
      <c r="F202" s="7"/>
      <c r="G202" s="7"/>
      <c r="H202" s="1"/>
      <c r="I202" s="1"/>
      <c r="J202" s="1"/>
      <c r="K202" s="1"/>
    </row>
    <row r="203" spans="1:11" x14ac:dyDescent="0.4">
      <c r="A203" s="3"/>
      <c r="B203" s="1"/>
      <c r="C203" s="1"/>
      <c r="D203" s="1"/>
      <c r="E203" s="1"/>
      <c r="F203" s="7"/>
      <c r="G203" s="7"/>
      <c r="H203" s="1"/>
      <c r="I203" s="1"/>
      <c r="J203" s="1"/>
      <c r="K203" s="1"/>
    </row>
    <row r="204" spans="1:11" x14ac:dyDescent="0.4">
      <c r="A204" s="3"/>
      <c r="B204" s="1"/>
      <c r="C204" s="1"/>
      <c r="D204" s="1"/>
      <c r="E204" s="1"/>
      <c r="F204" s="7"/>
      <c r="G204" s="7"/>
      <c r="H204" s="1"/>
      <c r="I204" s="1"/>
      <c r="J204" s="1"/>
      <c r="K204" s="1"/>
    </row>
    <row r="205" spans="1:11" x14ac:dyDescent="0.4">
      <c r="A205" s="3"/>
      <c r="B205" s="1"/>
      <c r="C205" s="1"/>
      <c r="D205" s="1"/>
      <c r="E205" s="1"/>
      <c r="F205" s="7"/>
      <c r="G205" s="7"/>
      <c r="H205" s="1"/>
      <c r="I205" s="1"/>
      <c r="J205" s="1"/>
      <c r="K205" s="1"/>
    </row>
    <row r="206" spans="1:11" x14ac:dyDescent="0.4">
      <c r="A206" s="3"/>
      <c r="B206" s="1"/>
      <c r="C206" s="1"/>
      <c r="D206" s="1"/>
      <c r="E206" s="1"/>
      <c r="F206" s="7"/>
      <c r="G206" s="7"/>
      <c r="H206" s="1"/>
      <c r="I206" s="1"/>
      <c r="J206" s="1"/>
      <c r="K206" s="1"/>
    </row>
    <row r="207" spans="1:11" x14ac:dyDescent="0.4">
      <c r="A207" s="3"/>
      <c r="B207" s="1"/>
      <c r="C207" s="1"/>
      <c r="D207" s="1"/>
      <c r="E207" s="1"/>
      <c r="F207" s="7"/>
      <c r="G207" s="7"/>
      <c r="H207" s="1"/>
      <c r="I207" s="1"/>
      <c r="J207" s="1"/>
      <c r="K207" s="1"/>
    </row>
    <row r="208" spans="1:11" x14ac:dyDescent="0.4">
      <c r="A208" s="3"/>
      <c r="B208" s="1"/>
      <c r="C208" s="1"/>
      <c r="D208" s="1"/>
      <c r="E208" s="1"/>
      <c r="F208" s="7"/>
      <c r="G208" s="7"/>
      <c r="H208" s="1"/>
      <c r="I208" s="1"/>
      <c r="J208" s="1"/>
      <c r="K208" s="1"/>
    </row>
    <row r="209" spans="1:11" x14ac:dyDescent="0.4">
      <c r="A209" s="3"/>
      <c r="B209" s="1"/>
      <c r="C209" s="1"/>
      <c r="D209" s="1"/>
      <c r="E209" s="1"/>
      <c r="F209" s="7"/>
      <c r="G209" s="7"/>
      <c r="H209" s="1"/>
      <c r="I209" s="1"/>
      <c r="J209" s="1"/>
      <c r="K209" s="1"/>
    </row>
    <row r="210" spans="1:11" x14ac:dyDescent="0.4">
      <c r="A210" s="3"/>
      <c r="B210" s="1"/>
      <c r="C210" s="1"/>
      <c r="D210" s="1"/>
      <c r="E210" s="1"/>
      <c r="F210" s="7"/>
      <c r="G210" s="7"/>
      <c r="H210" s="1"/>
      <c r="I210" s="1"/>
      <c r="J210" s="1"/>
      <c r="K210" s="1"/>
    </row>
    <row r="211" spans="1:11" x14ac:dyDescent="0.4">
      <c r="A211" s="3"/>
      <c r="B211" s="1"/>
      <c r="C211" s="1"/>
      <c r="D211" s="1"/>
      <c r="E211" s="1"/>
      <c r="F211" s="7"/>
      <c r="G211" s="7"/>
      <c r="H211" s="1"/>
      <c r="I211" s="1"/>
      <c r="J211" s="1"/>
      <c r="K211" s="1"/>
    </row>
    <row r="212" spans="1:11" x14ac:dyDescent="0.4">
      <c r="A212" s="3"/>
      <c r="B212" s="1"/>
      <c r="C212" s="1"/>
      <c r="D212" s="1"/>
      <c r="E212" s="1"/>
      <c r="F212" s="7"/>
      <c r="G212" s="7"/>
      <c r="H212" s="1"/>
      <c r="I212" s="1"/>
      <c r="J212" s="1"/>
      <c r="K212" s="1"/>
    </row>
    <row r="213" spans="1:11" x14ac:dyDescent="0.4">
      <c r="A213" s="3"/>
      <c r="B213" s="1"/>
      <c r="C213" s="1"/>
      <c r="D213" s="1"/>
      <c r="E213" s="1"/>
      <c r="F213" s="7"/>
      <c r="G213" s="7"/>
      <c r="H213" s="1"/>
      <c r="I213" s="1"/>
      <c r="J213" s="1"/>
      <c r="K213" s="1"/>
    </row>
    <row r="214" spans="1:11" x14ac:dyDescent="0.4">
      <c r="A214" s="3"/>
      <c r="B214" s="1"/>
      <c r="C214" s="1"/>
      <c r="D214" s="1"/>
      <c r="E214" s="1"/>
      <c r="F214" s="7"/>
      <c r="G214" s="7"/>
      <c r="H214" s="1"/>
      <c r="I214" s="1"/>
      <c r="J214" s="1"/>
      <c r="K214" s="1"/>
    </row>
    <row r="215" spans="1:11" x14ac:dyDescent="0.4">
      <c r="A215" s="3"/>
      <c r="B215" s="1"/>
      <c r="C215" s="1"/>
      <c r="D215" s="1"/>
      <c r="E215" s="1"/>
      <c r="F215" s="7"/>
      <c r="G215" s="7"/>
      <c r="H215" s="1"/>
      <c r="I215" s="1"/>
      <c r="J215" s="1"/>
      <c r="K215" s="1"/>
    </row>
    <row r="216" spans="1:11" x14ac:dyDescent="0.4">
      <c r="A216" s="3"/>
      <c r="B216" s="1"/>
      <c r="C216" s="1"/>
      <c r="D216" s="1"/>
      <c r="E216" s="1"/>
      <c r="F216" s="7"/>
      <c r="G216" s="7"/>
      <c r="H216" s="1"/>
      <c r="I216" s="1"/>
      <c r="J216" s="1"/>
      <c r="K216" s="1"/>
    </row>
    <row r="217" spans="1:11" x14ac:dyDescent="0.4">
      <c r="A217" s="3"/>
      <c r="B217" s="1"/>
      <c r="C217" s="1"/>
      <c r="D217" s="1"/>
      <c r="E217" s="1"/>
      <c r="F217" s="7"/>
      <c r="G217" s="7"/>
      <c r="H217" s="1"/>
      <c r="I217" s="1"/>
      <c r="J217" s="1"/>
      <c r="K217" s="1"/>
    </row>
    <row r="218" spans="1:11" x14ac:dyDescent="0.4">
      <c r="A218" s="3"/>
      <c r="B218" s="1"/>
      <c r="C218" s="1"/>
      <c r="D218" s="1"/>
      <c r="E218" s="1"/>
      <c r="F218" s="7"/>
      <c r="G218" s="7"/>
      <c r="H218" s="1"/>
      <c r="I218" s="1"/>
      <c r="J218" s="1"/>
      <c r="K218" s="1"/>
    </row>
    <row r="219" spans="1:11" x14ac:dyDescent="0.4">
      <c r="A219" s="3"/>
      <c r="B219" s="1"/>
      <c r="C219" s="1"/>
      <c r="D219" s="1"/>
      <c r="E219" s="1"/>
      <c r="F219" s="7"/>
      <c r="G219" s="7"/>
      <c r="H219" s="1"/>
      <c r="I219" s="1"/>
      <c r="J219" s="1"/>
      <c r="K219" s="1"/>
    </row>
    <row r="220" spans="1:11" x14ac:dyDescent="0.4">
      <c r="A220" s="3"/>
      <c r="B220" s="1"/>
      <c r="C220" s="1"/>
      <c r="D220" s="1"/>
      <c r="E220" s="1"/>
      <c r="F220" s="7"/>
      <c r="G220" s="7"/>
      <c r="H220" s="1"/>
      <c r="I220" s="1"/>
      <c r="J220" s="1"/>
      <c r="K220" s="1"/>
    </row>
    <row r="221" spans="1:11" x14ac:dyDescent="0.4">
      <c r="A221" s="3"/>
      <c r="B221" s="1"/>
      <c r="C221" s="1"/>
      <c r="D221" s="1"/>
      <c r="E221" s="1"/>
      <c r="F221" s="7"/>
      <c r="G221" s="7"/>
      <c r="H221" s="1"/>
      <c r="I221" s="1"/>
      <c r="J221" s="1"/>
      <c r="K221" s="1"/>
    </row>
    <row r="222" spans="1:11" x14ac:dyDescent="0.4">
      <c r="A222" s="3"/>
      <c r="B222" s="1"/>
      <c r="C222" s="1"/>
      <c r="D222" s="1"/>
      <c r="E222" s="1"/>
      <c r="F222" s="7"/>
      <c r="G222" s="7"/>
      <c r="H222" s="1"/>
      <c r="I222" s="1"/>
      <c r="J222" s="1"/>
      <c r="K222" s="1"/>
    </row>
    <row r="223" spans="1:11" x14ac:dyDescent="0.4">
      <c r="A223" s="3"/>
      <c r="B223" s="1"/>
      <c r="C223" s="1"/>
      <c r="D223" s="1"/>
      <c r="E223" s="1"/>
      <c r="F223" s="7"/>
      <c r="G223" s="7"/>
      <c r="H223" s="1"/>
      <c r="I223" s="1"/>
      <c r="J223" s="1"/>
      <c r="K223" s="1"/>
    </row>
    <row r="224" spans="1:11" x14ac:dyDescent="0.4">
      <c r="A224" s="3"/>
      <c r="B224" s="1"/>
      <c r="C224" s="1"/>
      <c r="D224" s="1"/>
      <c r="E224" s="1"/>
      <c r="F224" s="7"/>
      <c r="G224" s="7"/>
      <c r="H224" s="1"/>
      <c r="I224" s="1"/>
      <c r="J224" s="1"/>
      <c r="K224" s="1"/>
    </row>
    <row r="225" spans="1:11" x14ac:dyDescent="0.4">
      <c r="A225" s="3"/>
      <c r="B225" s="1"/>
      <c r="C225" s="1"/>
      <c r="D225" s="1"/>
      <c r="E225" s="1"/>
      <c r="F225" s="7"/>
      <c r="G225" s="7"/>
      <c r="H225" s="1"/>
      <c r="I225" s="1"/>
      <c r="J225" s="1"/>
      <c r="K225" s="1"/>
    </row>
    <row r="226" spans="1:11" x14ac:dyDescent="0.4">
      <c r="A226" s="3"/>
      <c r="B226" s="1"/>
      <c r="C226" s="1"/>
      <c r="D226" s="1"/>
      <c r="E226" s="1"/>
      <c r="F226" s="7"/>
      <c r="G226" s="7"/>
      <c r="H226" s="1"/>
      <c r="I226" s="1"/>
      <c r="J226" s="1"/>
      <c r="K226" s="1"/>
    </row>
    <row r="227" spans="1:11" x14ac:dyDescent="0.4">
      <c r="A227" s="3"/>
      <c r="B227" s="1"/>
      <c r="C227" s="1"/>
      <c r="D227" s="1"/>
      <c r="E227" s="1"/>
      <c r="F227" s="7"/>
      <c r="G227" s="7"/>
      <c r="H227" s="1"/>
      <c r="I227" s="1"/>
      <c r="J227" s="1"/>
      <c r="K227" s="1"/>
    </row>
    <row r="228" spans="1:11" x14ac:dyDescent="0.4">
      <c r="A228" s="3"/>
      <c r="B228" s="1"/>
      <c r="C228" s="1"/>
      <c r="D228" s="1"/>
      <c r="E228" s="1"/>
      <c r="F228" s="7"/>
      <c r="G228" s="7"/>
      <c r="H228" s="1"/>
      <c r="I228" s="1"/>
      <c r="J228" s="1"/>
      <c r="K228" s="1"/>
    </row>
    <row r="229" spans="1:11" x14ac:dyDescent="0.4">
      <c r="A229" s="3"/>
      <c r="B229" s="1"/>
      <c r="C229" s="1"/>
      <c r="D229" s="1"/>
      <c r="E229" s="1"/>
      <c r="F229" s="7"/>
      <c r="G229" s="7"/>
      <c r="H229" s="1"/>
      <c r="I229" s="1"/>
      <c r="J229" s="1"/>
      <c r="K229" s="1"/>
    </row>
    <row r="230" spans="1:11" x14ac:dyDescent="0.4">
      <c r="A230" s="3"/>
      <c r="B230" s="1"/>
      <c r="C230" s="1"/>
      <c r="D230" s="1"/>
      <c r="E230" s="1"/>
      <c r="F230" s="7"/>
      <c r="G230" s="7"/>
      <c r="H230" s="1"/>
      <c r="I230" s="1"/>
      <c r="J230" s="1"/>
      <c r="K230" s="1"/>
    </row>
    <row r="231" spans="1:11" x14ac:dyDescent="0.4">
      <c r="A231" s="3"/>
      <c r="B231" s="1"/>
      <c r="C231" s="1"/>
      <c r="D231" s="1"/>
      <c r="E231" s="1"/>
      <c r="F231" s="7"/>
      <c r="G231" s="7"/>
      <c r="H231" s="1"/>
      <c r="I231" s="1"/>
      <c r="J231" s="1"/>
      <c r="K231" s="1"/>
    </row>
    <row r="232" spans="1:11" x14ac:dyDescent="0.4">
      <c r="A232" s="3"/>
      <c r="B232" s="1"/>
      <c r="C232" s="1"/>
      <c r="D232" s="1"/>
      <c r="E232" s="1"/>
      <c r="F232" s="7"/>
      <c r="G232" s="7"/>
      <c r="H232" s="1"/>
      <c r="I232" s="1"/>
      <c r="J232" s="1"/>
      <c r="K232" s="1"/>
    </row>
    <row r="233" spans="1:11" x14ac:dyDescent="0.4">
      <c r="A233" s="3"/>
      <c r="B233" s="1"/>
      <c r="C233" s="1"/>
      <c r="D233" s="1"/>
      <c r="E233" s="1"/>
      <c r="F233" s="7"/>
      <c r="G233" s="7"/>
      <c r="H233" s="1"/>
      <c r="I233" s="1"/>
      <c r="J233" s="1"/>
      <c r="K233" s="1"/>
    </row>
    <row r="234" spans="1:11" x14ac:dyDescent="0.4">
      <c r="A234" s="3"/>
      <c r="B234" s="1"/>
      <c r="C234" s="1"/>
      <c r="D234" s="1"/>
      <c r="E234" s="1"/>
      <c r="F234" s="7"/>
      <c r="G234" s="7"/>
      <c r="H234" s="1"/>
      <c r="I234" s="1"/>
      <c r="J234" s="1"/>
      <c r="K234" s="1"/>
    </row>
    <row r="235" spans="1:11" x14ac:dyDescent="0.4">
      <c r="A235" s="3"/>
      <c r="B235" s="1"/>
      <c r="C235" s="1"/>
      <c r="D235" s="1"/>
      <c r="E235" s="1"/>
      <c r="F235" s="7"/>
      <c r="G235" s="7"/>
      <c r="H235" s="1"/>
      <c r="I235" s="1"/>
      <c r="J235" s="1"/>
      <c r="K235" s="1"/>
    </row>
  </sheetData>
  <protectedRanges>
    <protectedRange sqref="A4:F76 G6:H76 G4 H4:H5" name="编辑区"/>
  </protectedRanges>
  <autoFilter ref="A3:H3" xr:uid="{94A7C48B-63FD-47C0-A248-93FF80C049AA}"/>
  <mergeCells count="2">
    <mergeCell ref="A1:B2"/>
    <mergeCell ref="C1:H2"/>
  </mergeCells>
  <phoneticPr fontId="1" type="noConversion"/>
  <dataValidations count="3">
    <dataValidation type="list" allowBlank="1" showInputMessage="1" showErrorMessage="1" sqref="D1:D1048576" xr:uid="{084FEA4C-6D23-4DAD-82E9-E2446D3ECEF3}">
      <formula1>"饮食,学习,生活,外务,增值,特别立项"</formula1>
    </dataValidation>
    <dataValidation type="list" allowBlank="1" showInputMessage="1" showErrorMessage="1" sqref="C1:C1048576" xr:uid="{1CF85DF2-30B0-402A-A2AD-19E3AEBB1282}">
      <formula1>"收,支"</formula1>
    </dataValidation>
    <dataValidation type="list" allowBlank="1" showInputMessage="1" showErrorMessage="1" sqref="B4" xr:uid="{D5AA4823-3CC4-4994-B73B-08C034855574}">
      <formula1>"MO,TU,WE,TH,FR,SA,SU"</formula1>
    </dataValidation>
  </dataValidations>
  <hyperlinks>
    <hyperlink ref="A1:B2" location="主页!A1" display="返回主页" xr:uid="{AC0B1BB6-C5E9-434F-B0D8-D3DD4BA292C5}"/>
    <hyperlink ref="C1:H2" location="Sheet48最后数!A1" display="2024年一月综合财报" xr:uid="{2C54E0F3-5DB8-4BD6-B4DC-41F410BF10B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5A71-E109-4209-AAD6-4638199F2AFD}">
  <sheetPr codeName="Sheet3"/>
  <dimension ref="A1:H77"/>
  <sheetViews>
    <sheetView topLeftCell="A20" workbookViewId="0">
      <selection sqref="A1:B2"/>
    </sheetView>
  </sheetViews>
  <sheetFormatPr defaultRowHeight="13.9" x14ac:dyDescent="0.4"/>
  <cols>
    <col min="1" max="1" width="17.86328125" style="38" customWidth="1"/>
    <col min="2" max="2" width="9.06640625" style="1"/>
    <col min="5" max="5" width="62.1328125" customWidth="1"/>
    <col min="6" max="6" width="11.86328125" style="42" customWidth="1"/>
    <col min="7" max="7" width="9.59765625" customWidth="1"/>
    <col min="8" max="8" width="13.73046875" customWidth="1"/>
    <col min="12" max="12" width="11.265625" bestFit="1" customWidth="1"/>
  </cols>
  <sheetData>
    <row r="1" spans="1:8" x14ac:dyDescent="0.4">
      <c r="A1" s="78" t="s">
        <v>1</v>
      </c>
      <c r="B1" s="78"/>
      <c r="C1" s="80" t="s">
        <v>58</v>
      </c>
      <c r="D1" s="81"/>
      <c r="E1" s="81"/>
      <c r="F1" s="81"/>
      <c r="G1" s="81"/>
      <c r="H1" s="81"/>
    </row>
    <row r="2" spans="1:8" ht="55.5" customHeight="1" x14ac:dyDescent="0.4">
      <c r="A2" s="78"/>
      <c r="B2" s="78"/>
      <c r="C2" s="81"/>
      <c r="D2" s="81"/>
      <c r="E2" s="81"/>
      <c r="F2" s="81"/>
      <c r="G2" s="81"/>
      <c r="H2" s="81"/>
    </row>
    <row r="3" spans="1:8" x14ac:dyDescent="0.4">
      <c r="A3" s="37" t="s">
        <v>0</v>
      </c>
      <c r="B3" s="6" t="s">
        <v>3</v>
      </c>
      <c r="C3" s="6" t="s">
        <v>5</v>
      </c>
      <c r="D3" s="6" t="s">
        <v>4</v>
      </c>
      <c r="E3" s="6" t="s">
        <v>6</v>
      </c>
      <c r="F3" s="41" t="s">
        <v>7</v>
      </c>
      <c r="G3" s="6" t="s">
        <v>8</v>
      </c>
      <c r="H3" s="6" t="s">
        <v>9</v>
      </c>
    </row>
    <row r="4" spans="1:8" x14ac:dyDescent="0.4">
      <c r="A4" s="37">
        <v>45323</v>
      </c>
      <c r="B4" s="6" t="s">
        <v>59</v>
      </c>
      <c r="C4" s="6" t="s">
        <v>15</v>
      </c>
      <c r="D4" s="6" t="s">
        <v>17</v>
      </c>
      <c r="E4" s="6" t="s">
        <v>60</v>
      </c>
      <c r="F4" s="41">
        <f>13.5+8.7</f>
        <v>22.2</v>
      </c>
      <c r="G4" s="6"/>
      <c r="H4" s="6"/>
    </row>
    <row r="5" spans="1:8" x14ac:dyDescent="0.4">
      <c r="A5" s="37">
        <v>45324</v>
      </c>
      <c r="B5" s="6" t="s">
        <v>24</v>
      </c>
      <c r="C5" s="6" t="s">
        <v>15</v>
      </c>
      <c r="D5" s="6" t="s">
        <v>17</v>
      </c>
      <c r="E5" s="6" t="s">
        <v>48</v>
      </c>
      <c r="F5" s="41">
        <v>4</v>
      </c>
      <c r="G5" s="6"/>
      <c r="H5" s="6"/>
    </row>
    <row r="6" spans="1:8" x14ac:dyDescent="0.4">
      <c r="A6" s="37">
        <v>45325</v>
      </c>
      <c r="B6" s="6" t="s">
        <v>29</v>
      </c>
      <c r="C6" s="6" t="s">
        <v>15</v>
      </c>
      <c r="D6" s="6" t="s">
        <v>17</v>
      </c>
      <c r="E6" s="6" t="s">
        <v>61</v>
      </c>
      <c r="F6" s="41">
        <f>38+14+4.2</f>
        <v>56.2</v>
      </c>
      <c r="G6" s="6"/>
      <c r="H6" s="6"/>
    </row>
    <row r="7" spans="1:8" x14ac:dyDescent="0.4">
      <c r="A7" s="37"/>
      <c r="B7" s="6"/>
      <c r="C7" s="6" t="s">
        <v>12</v>
      </c>
      <c r="D7" s="6" t="s">
        <v>17</v>
      </c>
      <c r="E7" s="6" t="s">
        <v>63</v>
      </c>
      <c r="G7" s="41">
        <v>-500</v>
      </c>
      <c r="H7" s="6"/>
    </row>
    <row r="8" spans="1:8" x14ac:dyDescent="0.4">
      <c r="A8" s="40">
        <v>45328</v>
      </c>
      <c r="B8" s="39" t="s">
        <v>20</v>
      </c>
      <c r="C8" s="39" t="s">
        <v>62</v>
      </c>
      <c r="D8" s="6" t="s">
        <v>17</v>
      </c>
      <c r="E8" s="6" t="s">
        <v>69</v>
      </c>
      <c r="F8" s="41">
        <f>212.58-32.18</f>
        <v>180.4</v>
      </c>
      <c r="G8" s="6"/>
      <c r="H8" s="6"/>
    </row>
    <row r="9" spans="1:8" x14ac:dyDescent="0.4">
      <c r="A9" s="37">
        <v>45331</v>
      </c>
      <c r="B9" s="6" t="s">
        <v>24</v>
      </c>
      <c r="C9" s="6" t="s">
        <v>12</v>
      </c>
      <c r="D9" s="6" t="s">
        <v>13</v>
      </c>
      <c r="E9" s="6" t="s">
        <v>64</v>
      </c>
      <c r="G9" s="41">
        <f>-(66.6+2.88+2.88+4.62)</f>
        <v>-76.97999999999999</v>
      </c>
      <c r="H9" s="6"/>
    </row>
    <row r="10" spans="1:8" x14ac:dyDescent="0.4">
      <c r="A10" s="37"/>
      <c r="B10" s="6"/>
      <c r="C10" s="6" t="s">
        <v>15</v>
      </c>
      <c r="D10" s="6" t="s">
        <v>13</v>
      </c>
      <c r="E10" s="6" t="s">
        <v>65</v>
      </c>
      <c r="F10" s="41">
        <f>8+12</f>
        <v>20</v>
      </c>
      <c r="G10" s="6"/>
      <c r="H10" s="6"/>
    </row>
    <row r="11" spans="1:8" x14ac:dyDescent="0.4">
      <c r="A11" s="37">
        <v>45332</v>
      </c>
      <c r="B11" s="6" t="s">
        <v>29</v>
      </c>
      <c r="C11" s="6" t="s">
        <v>15</v>
      </c>
      <c r="D11" s="6" t="s">
        <v>17</v>
      </c>
      <c r="E11" s="6" t="s">
        <v>66</v>
      </c>
      <c r="F11" s="41">
        <v>50</v>
      </c>
      <c r="G11" s="6"/>
      <c r="H11" s="6"/>
    </row>
    <row r="12" spans="1:8" x14ac:dyDescent="0.4">
      <c r="A12" s="37"/>
      <c r="B12" s="6"/>
      <c r="C12" s="6" t="s">
        <v>12</v>
      </c>
      <c r="D12" s="6" t="s">
        <v>13</v>
      </c>
      <c r="E12" s="6" t="s">
        <v>67</v>
      </c>
      <c r="G12" s="41">
        <f>-(0.58+1.35+0.08+2.27+0.66+1.92+0.88)</f>
        <v>-7.74</v>
      </c>
      <c r="H12" s="6"/>
    </row>
    <row r="13" spans="1:8" x14ac:dyDescent="0.4">
      <c r="A13" s="37">
        <v>45333</v>
      </c>
      <c r="B13" s="6" t="s">
        <v>31</v>
      </c>
      <c r="C13" s="6" t="s">
        <v>15</v>
      </c>
      <c r="D13" s="6" t="s">
        <v>17</v>
      </c>
      <c r="E13" s="6" t="s">
        <v>71</v>
      </c>
      <c r="F13" s="41">
        <f>140+32.6+6.48</f>
        <v>179.07999999999998</v>
      </c>
      <c r="G13" s="6"/>
      <c r="H13" s="6"/>
    </row>
    <row r="14" spans="1:8" x14ac:dyDescent="0.4">
      <c r="A14" s="37"/>
      <c r="B14" s="6"/>
      <c r="C14" s="6" t="s">
        <v>15</v>
      </c>
      <c r="D14" s="6" t="s">
        <v>17</v>
      </c>
      <c r="E14" s="6" t="s">
        <v>68</v>
      </c>
      <c r="F14" s="41">
        <v>6.6</v>
      </c>
      <c r="G14" s="6"/>
      <c r="H14" s="6"/>
    </row>
    <row r="15" spans="1:8" x14ac:dyDescent="0.4">
      <c r="A15" s="37"/>
      <c r="B15" s="6"/>
      <c r="C15" s="6" t="s">
        <v>12</v>
      </c>
      <c r="D15" s="6" t="s">
        <v>17</v>
      </c>
      <c r="E15" s="6" t="s">
        <v>70</v>
      </c>
      <c r="G15" s="41">
        <v>-400</v>
      </c>
      <c r="H15" s="43"/>
    </row>
    <row r="16" spans="1:8" x14ac:dyDescent="0.4">
      <c r="A16" s="37">
        <v>45336</v>
      </c>
      <c r="B16" s="6" t="s">
        <v>22</v>
      </c>
      <c r="C16" s="6" t="s">
        <v>15</v>
      </c>
      <c r="D16" s="6" t="s">
        <v>17</v>
      </c>
      <c r="E16" s="6" t="s">
        <v>73</v>
      </c>
      <c r="F16" s="41">
        <v>90</v>
      </c>
      <c r="G16" s="6"/>
      <c r="H16" s="6">
        <f>SUM(F4:F6)+F8+F10+F11+F13+F14+F16+F17+F18+F19+F20</f>
        <v>1008.55</v>
      </c>
    </row>
    <row r="17" spans="1:8" x14ac:dyDescent="0.4">
      <c r="A17" s="37">
        <v>45337</v>
      </c>
      <c r="B17" s="6" t="s">
        <v>23</v>
      </c>
      <c r="C17" s="6" t="s">
        <v>15</v>
      </c>
      <c r="D17" s="6" t="s">
        <v>17</v>
      </c>
      <c r="E17" s="6" t="s">
        <v>84</v>
      </c>
      <c r="F17" s="41">
        <v>5</v>
      </c>
      <c r="G17" s="6"/>
      <c r="H17" s="6">
        <f>G7+G9+G12+G15</f>
        <v>-984.72</v>
      </c>
    </row>
    <row r="18" spans="1:8" x14ac:dyDescent="0.4">
      <c r="A18" s="37">
        <v>45339</v>
      </c>
      <c r="B18" s="6" t="s">
        <v>29</v>
      </c>
      <c r="C18" s="6" t="s">
        <v>15</v>
      </c>
      <c r="D18" s="6" t="s">
        <v>44</v>
      </c>
      <c r="E18" s="6" t="s">
        <v>72</v>
      </c>
      <c r="F18" s="41">
        <v>372.07</v>
      </c>
      <c r="G18" s="6"/>
      <c r="H18" s="6" t="s">
        <v>76</v>
      </c>
    </row>
    <row r="19" spans="1:8" x14ac:dyDescent="0.4">
      <c r="A19" s="37">
        <v>45340</v>
      </c>
      <c r="B19" s="6" t="s">
        <v>31</v>
      </c>
      <c r="C19" s="6" t="s">
        <v>15</v>
      </c>
      <c r="D19" s="6" t="s">
        <v>17</v>
      </c>
      <c r="E19" s="6" t="s">
        <v>18</v>
      </c>
      <c r="F19" s="41">
        <v>20</v>
      </c>
      <c r="G19" s="6"/>
      <c r="H19" s="6">
        <v>5702.42</v>
      </c>
    </row>
    <row r="20" spans="1:8" x14ac:dyDescent="0.4">
      <c r="A20" s="37"/>
      <c r="B20" s="6"/>
      <c r="C20" s="6" t="s">
        <v>15</v>
      </c>
      <c r="D20" s="6" t="s">
        <v>17</v>
      </c>
      <c r="E20" s="6" t="s">
        <v>74</v>
      </c>
      <c r="F20" s="41">
        <v>3</v>
      </c>
      <c r="G20" s="43"/>
      <c r="H20" s="43"/>
    </row>
    <row r="21" spans="1:8" x14ac:dyDescent="0.4">
      <c r="A21" s="37"/>
      <c r="B21" s="6"/>
      <c r="C21" s="6" t="s">
        <v>15</v>
      </c>
      <c r="D21" s="6" t="s">
        <v>13</v>
      </c>
      <c r="E21" s="6" t="s">
        <v>75</v>
      </c>
      <c r="F21" s="41">
        <v>21</v>
      </c>
      <c r="G21" s="43"/>
      <c r="H21" s="43"/>
    </row>
    <row r="22" spans="1:8" x14ac:dyDescent="0.4">
      <c r="A22" s="37">
        <v>45341</v>
      </c>
      <c r="B22" s="6" t="s">
        <v>33</v>
      </c>
      <c r="C22" s="6" t="s">
        <v>15</v>
      </c>
      <c r="D22" s="6" t="s">
        <v>17</v>
      </c>
      <c r="E22" s="6" t="s">
        <v>77</v>
      </c>
      <c r="F22" s="41">
        <v>28.54</v>
      </c>
      <c r="G22" s="6"/>
      <c r="H22" s="6"/>
    </row>
    <row r="23" spans="1:8" x14ac:dyDescent="0.4">
      <c r="A23" s="37"/>
      <c r="B23" s="6"/>
      <c r="C23" s="6" t="s">
        <v>15</v>
      </c>
      <c r="D23" s="6" t="s">
        <v>17</v>
      </c>
      <c r="E23" s="6" t="s">
        <v>18</v>
      </c>
      <c r="F23" s="41">
        <f>3+4</f>
        <v>7</v>
      </c>
      <c r="G23" s="6"/>
      <c r="H23" s="6"/>
    </row>
    <row r="24" spans="1:8" x14ac:dyDescent="0.4">
      <c r="A24" s="37">
        <v>45344</v>
      </c>
      <c r="B24" s="6" t="s">
        <v>23</v>
      </c>
      <c r="C24" s="6" t="s">
        <v>15</v>
      </c>
      <c r="D24" s="6" t="s">
        <v>17</v>
      </c>
      <c r="E24" s="6" t="s">
        <v>48</v>
      </c>
      <c r="F24" s="41">
        <v>18.52</v>
      </c>
      <c r="G24" s="6"/>
      <c r="H24" s="6"/>
    </row>
    <row r="25" spans="1:8" x14ac:dyDescent="0.4">
      <c r="A25" s="37"/>
      <c r="B25" s="6"/>
      <c r="C25" s="6" t="s">
        <v>15</v>
      </c>
      <c r="D25" s="6" t="s">
        <v>17</v>
      </c>
      <c r="E25" s="6" t="s">
        <v>78</v>
      </c>
      <c r="F25" s="41">
        <v>118</v>
      </c>
      <c r="G25" s="6"/>
      <c r="H25" s="6"/>
    </row>
    <row r="26" spans="1:8" x14ac:dyDescent="0.4">
      <c r="A26" s="37">
        <v>45345</v>
      </c>
      <c r="B26" s="6" t="s">
        <v>24</v>
      </c>
      <c r="C26" s="6" t="s">
        <v>15</v>
      </c>
      <c r="D26" s="6" t="s">
        <v>17</v>
      </c>
      <c r="E26" s="6" t="s">
        <v>18</v>
      </c>
      <c r="F26" s="41">
        <v>6.4</v>
      </c>
      <c r="G26" s="6"/>
      <c r="H26" s="6"/>
    </row>
    <row r="27" spans="1:8" x14ac:dyDescent="0.4">
      <c r="A27" s="37"/>
      <c r="B27" s="6"/>
      <c r="C27" s="6" t="s">
        <v>15</v>
      </c>
      <c r="D27" s="6" t="s">
        <v>17</v>
      </c>
      <c r="E27" s="6" t="s">
        <v>43</v>
      </c>
      <c r="F27" s="41">
        <v>6</v>
      </c>
      <c r="G27" s="6"/>
      <c r="H27" s="6"/>
    </row>
    <row r="28" spans="1:8" x14ac:dyDescent="0.4">
      <c r="A28" s="37"/>
      <c r="B28" s="6"/>
      <c r="C28" s="6" t="s">
        <v>15</v>
      </c>
      <c r="D28" s="6" t="s">
        <v>19</v>
      </c>
      <c r="E28" s="6" t="s">
        <v>79</v>
      </c>
      <c r="F28" s="41">
        <f>6+18+13</f>
        <v>37</v>
      </c>
      <c r="G28" s="6"/>
      <c r="H28" s="6"/>
    </row>
    <row r="29" spans="1:8" x14ac:dyDescent="0.4">
      <c r="A29" s="37"/>
      <c r="B29" s="6"/>
      <c r="C29" s="46" t="s">
        <v>15</v>
      </c>
      <c r="D29" s="46" t="s">
        <v>17</v>
      </c>
      <c r="E29" s="46" t="s">
        <v>80</v>
      </c>
      <c r="F29" s="47">
        <v>2.25</v>
      </c>
      <c r="G29" s="6"/>
      <c r="H29" s="6"/>
    </row>
    <row r="30" spans="1:8" x14ac:dyDescent="0.4">
      <c r="A30" s="37"/>
      <c r="B30" s="6"/>
      <c r="C30" s="6" t="s">
        <v>15</v>
      </c>
      <c r="D30" s="6" t="s">
        <v>10</v>
      </c>
      <c r="E30" s="6" t="s">
        <v>81</v>
      </c>
      <c r="F30" s="41">
        <v>10.66</v>
      </c>
      <c r="G30" s="6"/>
      <c r="H30" s="6"/>
    </row>
    <row r="31" spans="1:8" x14ac:dyDescent="0.4">
      <c r="A31" s="37">
        <v>45346</v>
      </c>
      <c r="B31" s="6" t="s">
        <v>29</v>
      </c>
      <c r="C31" s="6" t="s">
        <v>15</v>
      </c>
      <c r="D31" s="6" t="s">
        <v>19</v>
      </c>
      <c r="E31" s="6" t="s">
        <v>82</v>
      </c>
      <c r="F31" s="41">
        <v>23</v>
      </c>
      <c r="G31" s="6"/>
      <c r="H31" s="6"/>
    </row>
    <row r="32" spans="1:8" x14ac:dyDescent="0.4">
      <c r="A32" s="37">
        <v>45347</v>
      </c>
      <c r="B32" s="6" t="s">
        <v>31</v>
      </c>
      <c r="C32" s="6" t="s">
        <v>15</v>
      </c>
      <c r="D32" s="6" t="s">
        <v>17</v>
      </c>
      <c r="E32" s="6" t="s">
        <v>83</v>
      </c>
      <c r="F32" s="41">
        <f>62.34+15</f>
        <v>77.34</v>
      </c>
      <c r="G32" s="6"/>
      <c r="H32" s="6"/>
    </row>
    <row r="33" spans="1:8" x14ac:dyDescent="0.4">
      <c r="A33" s="37"/>
      <c r="B33" s="6"/>
      <c r="C33" s="6" t="s">
        <v>15</v>
      </c>
      <c r="D33" s="6" t="s">
        <v>17</v>
      </c>
      <c r="E33" s="6" t="s">
        <v>18</v>
      </c>
      <c r="F33" s="41">
        <f>6+5+2+2+3</f>
        <v>18</v>
      </c>
      <c r="G33" s="6"/>
      <c r="H33" s="41">
        <f>SUM(F22:F33)+H16</f>
        <v>1361.26</v>
      </c>
    </row>
    <row r="34" spans="1:8" x14ac:dyDescent="0.4">
      <c r="A34" s="37"/>
      <c r="B34" s="6"/>
      <c r="C34" s="6" t="s">
        <v>15</v>
      </c>
      <c r="D34" s="6" t="s">
        <v>19</v>
      </c>
      <c r="E34" s="6">
        <v>12</v>
      </c>
      <c r="F34" s="41">
        <v>12</v>
      </c>
      <c r="G34" s="6"/>
      <c r="H34" s="6"/>
    </row>
    <row r="35" spans="1:8" x14ac:dyDescent="0.4">
      <c r="A35" s="37">
        <v>45348</v>
      </c>
      <c r="B35" s="6" t="s">
        <v>33</v>
      </c>
      <c r="C35" s="6" t="s">
        <v>15</v>
      </c>
      <c r="D35" s="6" t="s">
        <v>19</v>
      </c>
      <c r="E35" s="6" t="s">
        <v>85</v>
      </c>
      <c r="F35" s="41">
        <f>14+14+3</f>
        <v>31</v>
      </c>
      <c r="G35" s="6"/>
      <c r="H35" s="6"/>
    </row>
    <row r="36" spans="1:8" x14ac:dyDescent="0.4">
      <c r="A36" s="37"/>
      <c r="B36" s="6"/>
      <c r="C36" s="6" t="s">
        <v>15</v>
      </c>
      <c r="D36" s="6" t="s">
        <v>10</v>
      </c>
      <c r="E36" s="6" t="s">
        <v>86</v>
      </c>
      <c r="F36" s="41">
        <f>18.5+15.3</f>
        <v>33.799999999999997</v>
      </c>
      <c r="G36" s="6"/>
      <c r="H36" s="6"/>
    </row>
    <row r="37" spans="1:8" x14ac:dyDescent="0.4">
      <c r="A37" s="37">
        <v>45349</v>
      </c>
      <c r="B37" s="6" t="s">
        <v>20</v>
      </c>
      <c r="C37" s="6" t="s">
        <v>15</v>
      </c>
      <c r="D37" s="6" t="s">
        <v>19</v>
      </c>
      <c r="E37" s="6" t="s">
        <v>21</v>
      </c>
      <c r="F37" s="41">
        <v>25</v>
      </c>
      <c r="G37" s="6"/>
      <c r="H37" s="6"/>
    </row>
    <row r="38" spans="1:8" x14ac:dyDescent="0.4">
      <c r="A38" s="37"/>
      <c r="B38" s="6"/>
      <c r="C38" s="6" t="s">
        <v>12</v>
      </c>
      <c r="D38" s="6" t="s">
        <v>10</v>
      </c>
      <c r="E38" s="6" t="s">
        <v>87</v>
      </c>
      <c r="G38" s="41">
        <v>-10.66</v>
      </c>
      <c r="H38" s="6"/>
    </row>
    <row r="39" spans="1:8" x14ac:dyDescent="0.4">
      <c r="A39" s="37">
        <v>45350</v>
      </c>
      <c r="B39" s="6" t="s">
        <v>22</v>
      </c>
      <c r="C39" s="6" t="s">
        <v>15</v>
      </c>
      <c r="D39" s="6" t="s">
        <v>19</v>
      </c>
      <c r="E39" s="6" t="s">
        <v>88</v>
      </c>
      <c r="F39" s="41">
        <f>3+10+31.8</f>
        <v>44.8</v>
      </c>
      <c r="G39" s="6"/>
      <c r="H39" s="6"/>
    </row>
    <row r="40" spans="1:8" x14ac:dyDescent="0.4">
      <c r="A40" s="37"/>
      <c r="B40" s="6"/>
      <c r="C40" s="6" t="s">
        <v>15</v>
      </c>
      <c r="D40" s="6" t="s">
        <v>10</v>
      </c>
      <c r="E40" s="6" t="s">
        <v>89</v>
      </c>
      <c r="F40" s="41">
        <v>20</v>
      </c>
      <c r="G40" s="6"/>
      <c r="H40" s="6"/>
    </row>
    <row r="41" spans="1:8" x14ac:dyDescent="0.4">
      <c r="A41" s="37"/>
      <c r="B41" s="6"/>
      <c r="C41" s="6" t="s">
        <v>15</v>
      </c>
      <c r="D41" s="6" t="s">
        <v>10</v>
      </c>
      <c r="E41" s="6" t="s">
        <v>81</v>
      </c>
      <c r="F41" s="41">
        <v>8.9</v>
      </c>
      <c r="G41" s="6"/>
      <c r="H41" s="6"/>
    </row>
    <row r="42" spans="1:8" x14ac:dyDescent="0.4">
      <c r="A42" s="37">
        <v>45351</v>
      </c>
      <c r="B42" s="6" t="s">
        <v>23</v>
      </c>
      <c r="C42" s="6" t="s">
        <v>15</v>
      </c>
      <c r="D42" s="6" t="s">
        <v>19</v>
      </c>
      <c r="E42" s="6" t="s">
        <v>21</v>
      </c>
      <c r="F42" s="41">
        <v>25</v>
      </c>
      <c r="G42" s="6"/>
      <c r="H42" s="6"/>
    </row>
    <row r="43" spans="1:8" x14ac:dyDescent="0.4">
      <c r="A43" s="37"/>
      <c r="B43" s="6"/>
      <c r="C43" s="6" t="s">
        <v>12</v>
      </c>
      <c r="D43" s="6" t="s">
        <v>17</v>
      </c>
      <c r="E43" s="6" t="s">
        <v>90</v>
      </c>
      <c r="G43" s="41">
        <v>-15</v>
      </c>
      <c r="H43" s="41">
        <f>SUM(G4:G44)</f>
        <v>-1010.38</v>
      </c>
    </row>
    <row r="44" spans="1:8" x14ac:dyDescent="0.4">
      <c r="A44" s="37"/>
      <c r="B44" s="6"/>
      <c r="C44" s="46" t="s">
        <v>15</v>
      </c>
      <c r="D44" s="46" t="s">
        <v>17</v>
      </c>
      <c r="E44" s="46" t="s">
        <v>80</v>
      </c>
      <c r="F44" s="47">
        <v>2.25</v>
      </c>
      <c r="H44" s="6">
        <f>SUMIF(F4:F44,"&gt;0")</f>
        <v>1585.01</v>
      </c>
    </row>
    <row r="45" spans="1:8" x14ac:dyDescent="0.4">
      <c r="A45" s="37"/>
      <c r="B45" s="6"/>
      <c r="C45" s="6"/>
      <c r="D45" s="6"/>
      <c r="E45" s="6"/>
      <c r="F45" s="41"/>
      <c r="G45" s="6"/>
      <c r="H45" s="6"/>
    </row>
    <row r="46" spans="1:8" x14ac:dyDescent="0.4">
      <c r="A46" s="37"/>
      <c r="B46" s="6"/>
      <c r="C46" s="6"/>
      <c r="D46" s="6"/>
      <c r="E46" s="6"/>
      <c r="F46" s="41"/>
      <c r="G46" s="6"/>
      <c r="H46" s="6"/>
    </row>
    <row r="47" spans="1:8" x14ac:dyDescent="0.4">
      <c r="A47" s="37"/>
      <c r="B47" s="6"/>
      <c r="C47" s="6"/>
      <c r="D47" s="6"/>
      <c r="E47" s="6"/>
      <c r="F47" s="41"/>
      <c r="G47" s="6"/>
      <c r="H47" s="6"/>
    </row>
    <row r="48" spans="1:8" x14ac:dyDescent="0.4">
      <c r="A48" s="37"/>
      <c r="B48" s="6"/>
      <c r="C48" s="6"/>
      <c r="D48" s="6"/>
      <c r="E48" s="6"/>
      <c r="F48" s="41"/>
      <c r="G48" s="6"/>
      <c r="H48" s="6"/>
    </row>
    <row r="49" spans="1:8" x14ac:dyDescent="0.4">
      <c r="A49" s="37"/>
      <c r="B49" s="6"/>
      <c r="C49" s="6"/>
      <c r="D49" s="6"/>
      <c r="E49" s="6"/>
      <c r="F49" s="41"/>
      <c r="G49" s="6"/>
      <c r="H49" s="6"/>
    </row>
    <row r="50" spans="1:8" x14ac:dyDescent="0.4">
      <c r="A50" s="37"/>
      <c r="B50" s="6"/>
      <c r="C50" s="6"/>
      <c r="D50" s="6"/>
      <c r="E50" s="6"/>
      <c r="F50" s="41"/>
      <c r="G50" s="6"/>
      <c r="H50" s="6"/>
    </row>
    <row r="51" spans="1:8" x14ac:dyDescent="0.4">
      <c r="A51" s="37"/>
      <c r="B51" s="6"/>
      <c r="C51" s="6"/>
      <c r="D51" s="6"/>
      <c r="E51" s="6"/>
      <c r="F51" s="41"/>
      <c r="G51" s="6"/>
      <c r="H51" s="6"/>
    </row>
    <row r="52" spans="1:8" x14ac:dyDescent="0.4">
      <c r="A52" s="37"/>
      <c r="B52" s="6"/>
      <c r="C52" s="6"/>
      <c r="D52" s="6"/>
      <c r="E52" s="6"/>
      <c r="F52" s="41"/>
      <c r="G52" s="6"/>
      <c r="H52" s="6"/>
    </row>
    <row r="53" spans="1:8" x14ac:dyDescent="0.4">
      <c r="A53" s="37"/>
      <c r="B53" s="6"/>
      <c r="C53" s="6"/>
      <c r="D53" s="6"/>
      <c r="E53" s="6"/>
      <c r="F53" s="41"/>
      <c r="G53" s="6"/>
      <c r="H53" s="6"/>
    </row>
    <row r="54" spans="1:8" x14ac:dyDescent="0.4">
      <c r="A54" s="37"/>
      <c r="B54" s="6"/>
      <c r="C54" s="6"/>
      <c r="D54" s="6"/>
      <c r="E54" s="6"/>
      <c r="F54" s="41"/>
      <c r="G54" s="6"/>
      <c r="H54" s="6"/>
    </row>
    <row r="55" spans="1:8" x14ac:dyDescent="0.4">
      <c r="A55" s="37"/>
      <c r="B55" s="6"/>
      <c r="C55" s="6"/>
      <c r="D55" s="6"/>
      <c r="E55" s="6"/>
      <c r="F55" s="41"/>
      <c r="G55" s="6"/>
      <c r="H55" s="6"/>
    </row>
    <row r="56" spans="1:8" x14ac:dyDescent="0.4">
      <c r="A56" s="37"/>
      <c r="B56" s="6"/>
      <c r="C56" s="6"/>
      <c r="D56" s="6"/>
      <c r="E56" s="6"/>
      <c r="F56" s="41"/>
      <c r="G56" s="6"/>
      <c r="H56" s="6"/>
    </row>
    <row r="57" spans="1:8" x14ac:dyDescent="0.4">
      <c r="A57" s="37"/>
      <c r="B57" s="6"/>
      <c r="C57" s="6"/>
      <c r="D57" s="6"/>
      <c r="E57" s="6"/>
      <c r="F57" s="41"/>
      <c r="G57" s="6"/>
      <c r="H57" s="6"/>
    </row>
    <row r="58" spans="1:8" x14ac:dyDescent="0.4">
      <c r="A58" s="37"/>
      <c r="B58" s="6"/>
      <c r="C58" s="6"/>
      <c r="D58" s="6"/>
      <c r="E58" s="6"/>
      <c r="F58" s="41"/>
      <c r="G58" s="6"/>
      <c r="H58" s="6"/>
    </row>
    <row r="59" spans="1:8" x14ac:dyDescent="0.4">
      <c r="A59" s="37"/>
      <c r="B59" s="6"/>
      <c r="C59" s="6"/>
      <c r="D59" s="6"/>
      <c r="E59" s="6"/>
      <c r="F59" s="41"/>
      <c r="G59" s="6"/>
      <c r="H59" s="6"/>
    </row>
    <row r="60" spans="1:8" x14ac:dyDescent="0.4">
      <c r="A60" s="37"/>
      <c r="B60" s="6"/>
      <c r="C60" s="6"/>
      <c r="D60" s="6"/>
      <c r="E60" s="6"/>
      <c r="F60" s="41"/>
      <c r="G60" s="6"/>
      <c r="H60" s="6"/>
    </row>
    <row r="61" spans="1:8" x14ac:dyDescent="0.4">
      <c r="A61" s="37"/>
      <c r="B61" s="6"/>
      <c r="C61" s="6"/>
      <c r="D61" s="6"/>
      <c r="E61" s="6"/>
      <c r="F61" s="41"/>
      <c r="G61" s="6"/>
      <c r="H61" s="6"/>
    </row>
    <row r="62" spans="1:8" x14ac:dyDescent="0.4">
      <c r="A62" s="37"/>
      <c r="B62" s="6"/>
      <c r="C62" s="6"/>
      <c r="D62" s="6"/>
      <c r="E62" s="6"/>
      <c r="F62" s="41"/>
      <c r="G62" s="6"/>
      <c r="H62" s="6"/>
    </row>
    <row r="63" spans="1:8" x14ac:dyDescent="0.4">
      <c r="A63" s="37"/>
      <c r="B63" s="6"/>
      <c r="C63" s="6"/>
      <c r="D63" s="6"/>
      <c r="E63" s="6"/>
      <c r="F63" s="41"/>
      <c r="G63" s="6"/>
      <c r="H63" s="6"/>
    </row>
    <row r="64" spans="1:8" x14ac:dyDescent="0.4">
      <c r="A64" s="37"/>
      <c r="B64" s="6"/>
      <c r="C64" s="6"/>
      <c r="D64" s="6"/>
      <c r="E64" s="6"/>
      <c r="F64" s="41"/>
      <c r="G64" s="6"/>
      <c r="H64" s="6"/>
    </row>
    <row r="65" spans="1:8" x14ac:dyDescent="0.4">
      <c r="A65" s="37"/>
      <c r="B65" s="6"/>
      <c r="C65" s="6"/>
      <c r="D65" s="6"/>
      <c r="E65" s="6"/>
      <c r="F65" s="41"/>
      <c r="G65" s="6"/>
      <c r="H65" s="6"/>
    </row>
    <row r="66" spans="1:8" x14ac:dyDescent="0.4">
      <c r="A66" s="37"/>
      <c r="B66" s="6"/>
      <c r="C66" s="6"/>
      <c r="D66" s="6"/>
      <c r="E66" s="6"/>
      <c r="F66" s="41"/>
      <c r="G66" s="6"/>
      <c r="H66" s="6"/>
    </row>
    <row r="67" spans="1:8" x14ac:dyDescent="0.4">
      <c r="A67" s="37"/>
      <c r="B67" s="6"/>
      <c r="C67" s="6"/>
      <c r="D67" s="6"/>
      <c r="E67" s="6"/>
      <c r="F67" s="41"/>
      <c r="G67" s="6"/>
      <c r="H67" s="6"/>
    </row>
    <row r="68" spans="1:8" x14ac:dyDescent="0.4">
      <c r="A68" s="37"/>
      <c r="B68" s="6"/>
      <c r="C68" s="6"/>
      <c r="D68" s="6"/>
      <c r="E68" s="6"/>
      <c r="F68" s="41"/>
      <c r="G68" s="6"/>
      <c r="H68" s="6"/>
    </row>
    <row r="69" spans="1:8" x14ac:dyDescent="0.4">
      <c r="A69" s="37"/>
      <c r="B69" s="6"/>
      <c r="C69" s="6"/>
      <c r="D69" s="6"/>
      <c r="E69" s="6"/>
      <c r="F69" s="41"/>
      <c r="G69" s="6"/>
      <c r="H69" s="6"/>
    </row>
    <row r="70" spans="1:8" x14ac:dyDescent="0.4">
      <c r="A70" s="37"/>
      <c r="B70" s="6"/>
      <c r="C70" s="6"/>
      <c r="D70" s="6"/>
      <c r="E70" s="6"/>
      <c r="F70" s="41"/>
      <c r="G70" s="6"/>
      <c r="H70" s="6"/>
    </row>
    <row r="71" spans="1:8" x14ac:dyDescent="0.4">
      <c r="A71" s="37"/>
      <c r="B71" s="6"/>
      <c r="C71" s="6"/>
      <c r="D71" s="6"/>
      <c r="E71" s="6"/>
      <c r="F71" s="41"/>
      <c r="G71" s="6"/>
      <c r="H71" s="6"/>
    </row>
    <row r="72" spans="1:8" x14ac:dyDescent="0.4">
      <c r="A72" s="37"/>
      <c r="B72" s="6"/>
      <c r="C72" s="6"/>
      <c r="D72" s="6"/>
      <c r="E72" s="6"/>
      <c r="F72" s="41"/>
      <c r="G72" s="6"/>
      <c r="H72" s="6"/>
    </row>
    <row r="73" spans="1:8" x14ac:dyDescent="0.4">
      <c r="A73" s="37"/>
      <c r="B73" s="6"/>
      <c r="C73" s="6"/>
      <c r="D73" s="6"/>
      <c r="E73" s="6"/>
      <c r="F73" s="41"/>
      <c r="G73" s="6"/>
      <c r="H73" s="6"/>
    </row>
    <row r="74" spans="1:8" x14ac:dyDescent="0.4">
      <c r="A74" s="37"/>
      <c r="B74" s="6"/>
      <c r="C74" s="6"/>
      <c r="D74" s="6"/>
      <c r="E74" s="6"/>
      <c r="F74" s="41"/>
      <c r="G74" s="6"/>
      <c r="H74" s="6"/>
    </row>
    <row r="75" spans="1:8" x14ac:dyDescent="0.4">
      <c r="A75" s="37"/>
      <c r="B75" s="6"/>
      <c r="C75" s="6"/>
      <c r="D75" s="6"/>
      <c r="E75" s="6"/>
      <c r="F75" s="41"/>
      <c r="G75" s="6"/>
      <c r="H75" s="6"/>
    </row>
    <row r="76" spans="1:8" x14ac:dyDescent="0.4">
      <c r="A76" s="37"/>
      <c r="B76" s="6"/>
      <c r="C76" s="6"/>
      <c r="D76" s="6"/>
      <c r="E76" s="6"/>
      <c r="F76" s="41"/>
      <c r="G76" s="6"/>
      <c r="H76" s="6"/>
    </row>
    <row r="77" spans="1:8" x14ac:dyDescent="0.4">
      <c r="A77" s="37"/>
      <c r="B77" s="6"/>
      <c r="C77" s="6"/>
      <c r="D77" s="6"/>
      <c r="E77" s="6"/>
      <c r="F77" s="41"/>
      <c r="G77" s="6"/>
      <c r="H77" s="6"/>
    </row>
  </sheetData>
  <protectedRanges>
    <protectedRange sqref="A4:C7 A9:C77 H43:H44 H4:H14 H16:H19 G43 G45:H77 G22:H42 D4:E77 F4:G6 F8 F10:F11 F13:F14 G7:G19 F16:F37 F39:F42 F44:F77" name="编辑区"/>
  </protectedRanges>
  <autoFilter ref="A3:H55" xr:uid="{602C5A71-E109-4209-AAD6-4638199F2AFD}"/>
  <mergeCells count="2">
    <mergeCell ref="A1:B2"/>
    <mergeCell ref="C1:H2"/>
  </mergeCells>
  <phoneticPr fontId="1" type="noConversion"/>
  <conditionalFormatting sqref="F1:F6 G7 F8 G9 F10:F11 G12 F13:F14 G15 F16:F37 G38 F39:F42 G43 F44:F1048576">
    <cfRule type="cellIs" dxfId="3" priority="1" operator="lessThan">
      <formula>0</formula>
    </cfRule>
  </conditionalFormatting>
  <dataValidations count="3">
    <dataValidation type="list" allowBlank="1" showInputMessage="1" showErrorMessage="1" sqref="B4" xr:uid="{A4850157-B3D7-49B0-9A99-6EB3DC878C40}">
      <formula1>"MO,TU,WE,TH,FR,SA,SU"</formula1>
    </dataValidation>
    <dataValidation type="list" allowBlank="1" showInputMessage="1" showErrorMessage="1" sqref="D3:D77" xr:uid="{E7F2F834-2D88-4528-908D-6BE9DC0F9831}">
      <formula1>"饮食,学习,生活,外务,增值,特别立项"</formula1>
    </dataValidation>
    <dataValidation type="list" allowBlank="1" showInputMessage="1" showErrorMessage="1" sqref="C9:C77 C3:C7" xr:uid="{28C2AA52-C1F4-422C-8A56-D98661797BE9}">
      <formula1>"收,支"</formula1>
    </dataValidation>
  </dataValidations>
  <hyperlinks>
    <hyperlink ref="A1:B2" location="主页!A1" display="返回主页" xr:uid="{39F240CA-79E8-4606-8B8C-C2D14053D2AE}"/>
    <hyperlink ref="C1:H2" location="Sheet48最后数!A1" display="2024年二月综合财报" xr:uid="{3D4A7D55-9F28-4F63-B24E-09DDE6FE1BA7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2118-2C6A-409A-93A7-9261B05CCA2C}">
  <sheetPr codeName="Sheet4"/>
  <dimension ref="A1:H79"/>
  <sheetViews>
    <sheetView zoomScale="85" zoomScaleNormal="85" workbookViewId="0">
      <selection sqref="A1:B2"/>
    </sheetView>
  </sheetViews>
  <sheetFormatPr defaultRowHeight="13.9" x14ac:dyDescent="0.4"/>
  <cols>
    <col min="1" max="1" width="16.3984375" style="45" customWidth="1"/>
    <col min="5" max="5" width="51.06640625" customWidth="1"/>
    <col min="6" max="6" width="13.19921875" style="42" customWidth="1"/>
    <col min="7" max="7" width="12.796875" style="42" customWidth="1"/>
    <col min="8" max="8" width="11.86328125" customWidth="1"/>
  </cols>
  <sheetData>
    <row r="1" spans="1:8" ht="13.9" customHeight="1" x14ac:dyDescent="0.4">
      <c r="A1" s="82" t="s">
        <v>1</v>
      </c>
      <c r="B1" s="83"/>
      <c r="C1" s="86" t="s">
        <v>92</v>
      </c>
      <c r="D1" s="87"/>
      <c r="E1" s="87"/>
      <c r="F1" s="87"/>
      <c r="G1" s="87"/>
      <c r="H1" s="87"/>
    </row>
    <row r="2" spans="1:8" ht="50.65" customHeight="1" x14ac:dyDescent="0.4">
      <c r="A2" s="84"/>
      <c r="B2" s="85"/>
      <c r="C2" s="87"/>
      <c r="D2" s="87"/>
      <c r="E2" s="87"/>
      <c r="F2" s="87"/>
      <c r="G2" s="87"/>
      <c r="H2" s="87"/>
    </row>
    <row r="3" spans="1:8" x14ac:dyDescent="0.4">
      <c r="A3" s="44" t="s">
        <v>0</v>
      </c>
      <c r="B3" s="6" t="s">
        <v>3</v>
      </c>
      <c r="C3" s="6" t="s">
        <v>5</v>
      </c>
      <c r="D3" s="6" t="s">
        <v>4</v>
      </c>
      <c r="E3" s="6" t="s">
        <v>6</v>
      </c>
      <c r="F3" s="41" t="s">
        <v>7</v>
      </c>
      <c r="G3" s="41" t="s">
        <v>8</v>
      </c>
      <c r="H3" s="6" t="s">
        <v>9</v>
      </c>
    </row>
    <row r="4" spans="1:8" x14ac:dyDescent="0.4">
      <c r="A4" s="44">
        <v>45352</v>
      </c>
      <c r="B4" s="6" t="s">
        <v>93</v>
      </c>
      <c r="C4" s="6" t="s">
        <v>15</v>
      </c>
      <c r="D4" s="6" t="s">
        <v>19</v>
      </c>
      <c r="E4" s="6" t="s">
        <v>21</v>
      </c>
      <c r="F4" s="41">
        <v>25</v>
      </c>
      <c r="G4" s="41"/>
      <c r="H4" s="6"/>
    </row>
    <row r="5" spans="1:8" x14ac:dyDescent="0.4">
      <c r="A5" s="44">
        <v>45353</v>
      </c>
      <c r="B5" s="6" t="s">
        <v>29</v>
      </c>
      <c r="C5" s="6" t="s">
        <v>15</v>
      </c>
      <c r="D5" s="6" t="s">
        <v>19</v>
      </c>
      <c r="E5" s="6" t="s">
        <v>94</v>
      </c>
      <c r="F5" s="41">
        <v>13.5</v>
      </c>
      <c r="G5" s="41"/>
      <c r="H5" s="6"/>
    </row>
    <row r="6" spans="1:8" x14ac:dyDescent="0.4">
      <c r="A6" s="44"/>
      <c r="B6" s="6"/>
      <c r="C6" s="6" t="s">
        <v>15</v>
      </c>
      <c r="D6" s="6" t="s">
        <v>17</v>
      </c>
      <c r="E6" s="6" t="s">
        <v>115</v>
      </c>
      <c r="F6" s="41">
        <v>6.4</v>
      </c>
      <c r="G6" s="41"/>
      <c r="H6" s="6"/>
    </row>
    <row r="7" spans="1:8" x14ac:dyDescent="0.4">
      <c r="A7" s="44">
        <v>45354</v>
      </c>
      <c r="B7" s="6" t="s">
        <v>31</v>
      </c>
      <c r="C7" s="6" t="s">
        <v>15</v>
      </c>
      <c r="D7" s="6" t="s">
        <v>17</v>
      </c>
      <c r="E7" s="6" t="s">
        <v>95</v>
      </c>
      <c r="F7" s="41">
        <v>16</v>
      </c>
      <c r="G7" s="41"/>
      <c r="H7" s="6"/>
    </row>
    <row r="8" spans="1:8" x14ac:dyDescent="0.4">
      <c r="A8" s="44"/>
      <c r="B8" s="6"/>
      <c r="C8" s="6" t="s">
        <v>15</v>
      </c>
      <c r="D8" s="6" t="s">
        <v>17</v>
      </c>
      <c r="E8" s="6" t="s">
        <v>96</v>
      </c>
      <c r="F8" s="41">
        <f>40+10+330</f>
        <v>380</v>
      </c>
      <c r="G8" s="41"/>
      <c r="H8" s="6"/>
    </row>
    <row r="9" spans="1:8" x14ac:dyDescent="0.4">
      <c r="A9" s="44">
        <v>45355</v>
      </c>
      <c r="B9" s="6" t="s">
        <v>97</v>
      </c>
      <c r="C9" s="6" t="s">
        <v>15</v>
      </c>
      <c r="D9" s="6" t="s">
        <v>19</v>
      </c>
      <c r="E9" s="6" t="s">
        <v>98</v>
      </c>
      <c r="F9" s="41">
        <f>3+10+13</f>
        <v>26</v>
      </c>
      <c r="G9" s="41"/>
      <c r="H9" s="6"/>
    </row>
    <row r="10" spans="1:8" x14ac:dyDescent="0.4">
      <c r="A10" s="44">
        <v>45356</v>
      </c>
      <c r="B10" s="6" t="s">
        <v>99</v>
      </c>
      <c r="C10" s="6" t="s">
        <v>15</v>
      </c>
      <c r="D10" s="6" t="s">
        <v>19</v>
      </c>
      <c r="E10" s="6" t="s">
        <v>100</v>
      </c>
      <c r="F10" s="41">
        <v>23</v>
      </c>
      <c r="G10" s="41"/>
      <c r="H10" s="6"/>
    </row>
    <row r="11" spans="1:8" x14ac:dyDescent="0.4">
      <c r="A11" s="44"/>
      <c r="B11" s="6"/>
      <c r="C11" s="46" t="s">
        <v>15</v>
      </c>
      <c r="D11" s="46" t="s">
        <v>17</v>
      </c>
      <c r="E11" s="46" t="s">
        <v>101</v>
      </c>
      <c r="F11" s="47">
        <v>2.25</v>
      </c>
      <c r="G11" s="41"/>
      <c r="H11" s="6"/>
    </row>
    <row r="12" spans="1:8" x14ac:dyDescent="0.4">
      <c r="A12" s="44"/>
      <c r="B12" s="6"/>
      <c r="C12" s="6" t="s">
        <v>12</v>
      </c>
      <c r="D12" s="6" t="s">
        <v>17</v>
      </c>
      <c r="E12" s="6" t="s">
        <v>102</v>
      </c>
      <c r="F12" s="41"/>
      <c r="G12" s="41">
        <v>-118</v>
      </c>
      <c r="H12" s="6"/>
    </row>
    <row r="13" spans="1:8" x14ac:dyDescent="0.4">
      <c r="A13" s="44">
        <v>45357</v>
      </c>
      <c r="B13" s="6" t="s">
        <v>103</v>
      </c>
      <c r="C13" s="6" t="s">
        <v>15</v>
      </c>
      <c r="D13" s="6" t="s">
        <v>19</v>
      </c>
      <c r="E13" s="6" t="s">
        <v>104</v>
      </c>
      <c r="F13" s="41">
        <f>3+14+11</f>
        <v>28</v>
      </c>
      <c r="G13" s="41"/>
      <c r="H13" s="6"/>
    </row>
    <row r="14" spans="1:8" x14ac:dyDescent="0.4">
      <c r="A14" s="44"/>
      <c r="B14" s="6"/>
      <c r="C14" s="6" t="s">
        <v>15</v>
      </c>
      <c r="D14" s="6" t="s">
        <v>10</v>
      </c>
      <c r="E14" s="6" t="s">
        <v>105</v>
      </c>
      <c r="F14" s="41">
        <v>50</v>
      </c>
      <c r="G14" s="41"/>
      <c r="H14" s="6"/>
    </row>
    <row r="15" spans="1:8" x14ac:dyDescent="0.4">
      <c r="A15" s="44">
        <v>45358</v>
      </c>
      <c r="B15" s="6" t="s">
        <v>106</v>
      </c>
      <c r="C15" s="6" t="s">
        <v>15</v>
      </c>
      <c r="D15" s="6" t="s">
        <v>19</v>
      </c>
      <c r="E15" s="6" t="s">
        <v>107</v>
      </c>
      <c r="F15" s="41">
        <v>25</v>
      </c>
      <c r="G15" s="41"/>
      <c r="H15" s="6"/>
    </row>
    <row r="16" spans="1:8" x14ac:dyDescent="0.4">
      <c r="A16" s="44">
        <v>45359</v>
      </c>
      <c r="B16" s="6" t="s">
        <v>108</v>
      </c>
      <c r="C16" s="6" t="s">
        <v>15</v>
      </c>
      <c r="D16" s="6" t="s">
        <v>19</v>
      </c>
      <c r="E16" s="6" t="s">
        <v>109</v>
      </c>
      <c r="F16" s="41">
        <f>3.5+10+12</f>
        <v>25.5</v>
      </c>
      <c r="G16" s="41"/>
      <c r="H16" s="6"/>
    </row>
    <row r="17" spans="1:8" x14ac:dyDescent="0.4">
      <c r="A17" s="44">
        <v>45360</v>
      </c>
      <c r="B17" s="6" t="s">
        <v>110</v>
      </c>
      <c r="C17" s="6" t="s">
        <v>15</v>
      </c>
      <c r="D17" s="6" t="s">
        <v>19</v>
      </c>
      <c r="E17" s="6" t="s">
        <v>107</v>
      </c>
      <c r="F17" s="41">
        <v>25</v>
      </c>
      <c r="G17" s="41"/>
      <c r="H17" s="6"/>
    </row>
    <row r="18" spans="1:8" x14ac:dyDescent="0.4">
      <c r="A18" s="44">
        <v>45361</v>
      </c>
      <c r="B18" s="6" t="s">
        <v>111</v>
      </c>
      <c r="C18" s="6" t="s">
        <v>15</v>
      </c>
      <c r="D18" s="6" t="s">
        <v>19</v>
      </c>
      <c r="E18" s="6" t="s">
        <v>104</v>
      </c>
      <c r="F18" s="41">
        <f>3+14+11</f>
        <v>28</v>
      </c>
      <c r="G18" s="41"/>
      <c r="H18" s="41">
        <f>G12</f>
        <v>-118</v>
      </c>
    </row>
    <row r="19" spans="1:8" x14ac:dyDescent="0.4">
      <c r="A19" s="44"/>
      <c r="B19" s="6"/>
      <c r="C19" s="46" t="s">
        <v>15</v>
      </c>
      <c r="D19" s="46" t="s">
        <v>17</v>
      </c>
      <c r="E19" s="46" t="s">
        <v>101</v>
      </c>
      <c r="F19" s="47">
        <v>2.25</v>
      </c>
      <c r="G19" s="41"/>
      <c r="H19" s="41">
        <f>SUM(F4:F21)</f>
        <v>735.8</v>
      </c>
    </row>
    <row r="20" spans="1:8" x14ac:dyDescent="0.4">
      <c r="A20" s="44">
        <v>45362</v>
      </c>
      <c r="B20" s="6" t="s">
        <v>97</v>
      </c>
      <c r="C20" s="6" t="s">
        <v>15</v>
      </c>
      <c r="D20" s="6" t="s">
        <v>19</v>
      </c>
      <c r="E20" s="6" t="s">
        <v>112</v>
      </c>
      <c r="F20" s="41">
        <f>3+17+12</f>
        <v>32</v>
      </c>
      <c r="G20" s="41"/>
      <c r="H20" s="6" t="s">
        <v>114</v>
      </c>
    </row>
    <row r="21" spans="1:8" x14ac:dyDescent="0.4">
      <c r="A21" s="44">
        <v>45363</v>
      </c>
      <c r="B21" s="6" t="s">
        <v>99</v>
      </c>
      <c r="C21" s="6" t="s">
        <v>15</v>
      </c>
      <c r="D21" s="6" t="s">
        <v>19</v>
      </c>
      <c r="E21" s="6" t="s">
        <v>113</v>
      </c>
      <c r="F21" s="41">
        <f>3+12+12.9</f>
        <v>27.9</v>
      </c>
      <c r="G21" s="41"/>
      <c r="H21" s="6">
        <v>4541.3599999999997</v>
      </c>
    </row>
    <row r="22" spans="1:8" x14ac:dyDescent="0.4">
      <c r="A22" s="44">
        <v>45364</v>
      </c>
      <c r="B22" s="6" t="s">
        <v>119</v>
      </c>
      <c r="C22" s="6" t="s">
        <v>15</v>
      </c>
      <c r="D22" s="6" t="s">
        <v>19</v>
      </c>
      <c r="E22" s="6" t="s">
        <v>120</v>
      </c>
      <c r="F22" s="41">
        <f>3+10.5+12</f>
        <v>25.5</v>
      </c>
      <c r="G22" s="41"/>
      <c r="H22" s="6"/>
    </row>
    <row r="23" spans="1:8" x14ac:dyDescent="0.4">
      <c r="A23" s="44">
        <v>45365</v>
      </c>
      <c r="B23" s="6" t="s">
        <v>121</v>
      </c>
      <c r="C23" s="6" t="s">
        <v>15</v>
      </c>
      <c r="D23" s="6" t="s">
        <v>19</v>
      </c>
      <c r="E23" s="6" t="s">
        <v>122</v>
      </c>
      <c r="F23" s="41">
        <v>26</v>
      </c>
      <c r="G23" s="41"/>
      <c r="H23" s="6"/>
    </row>
    <row r="24" spans="1:8" x14ac:dyDescent="0.4">
      <c r="A24" s="44">
        <v>45366</v>
      </c>
      <c r="B24" s="6" t="s">
        <v>123</v>
      </c>
      <c r="C24" s="6" t="s">
        <v>15</v>
      </c>
      <c r="D24" s="6" t="s">
        <v>19</v>
      </c>
      <c r="E24" s="6" t="s">
        <v>124</v>
      </c>
      <c r="F24" s="41">
        <f>3.5+11.5+12</f>
        <v>27</v>
      </c>
      <c r="G24" s="41"/>
      <c r="H24" s="6"/>
    </row>
    <row r="25" spans="1:8" x14ac:dyDescent="0.4">
      <c r="A25" s="44">
        <v>45367</v>
      </c>
      <c r="B25" s="6" t="s">
        <v>125</v>
      </c>
      <c r="C25" s="6" t="s">
        <v>15</v>
      </c>
      <c r="D25" s="6" t="s">
        <v>19</v>
      </c>
      <c r="E25" s="6" t="s">
        <v>126</v>
      </c>
      <c r="F25" s="41">
        <f>5+34+2.84</f>
        <v>41.84</v>
      </c>
      <c r="G25" s="41"/>
      <c r="H25" s="6"/>
    </row>
    <row r="26" spans="1:8" x14ac:dyDescent="0.4">
      <c r="A26" s="44"/>
      <c r="B26" s="6"/>
      <c r="C26" s="6" t="s">
        <v>15</v>
      </c>
      <c r="D26" s="6" t="s">
        <v>17</v>
      </c>
      <c r="E26" s="6" t="s">
        <v>127</v>
      </c>
      <c r="F26" s="41">
        <f>8+2.8+7.8</f>
        <v>18.600000000000001</v>
      </c>
      <c r="G26" s="41"/>
      <c r="H26" s="6"/>
    </row>
    <row r="27" spans="1:8" x14ac:dyDescent="0.4">
      <c r="A27" s="44"/>
      <c r="B27" s="6"/>
      <c r="C27" s="46" t="s">
        <v>15</v>
      </c>
      <c r="D27" s="46" t="s">
        <v>17</v>
      </c>
      <c r="E27" s="46" t="s">
        <v>80</v>
      </c>
      <c r="F27" s="47">
        <v>2.25</v>
      </c>
      <c r="G27" s="41"/>
      <c r="H27" s="6"/>
    </row>
    <row r="28" spans="1:8" x14ac:dyDescent="0.4">
      <c r="A28" s="44"/>
      <c r="B28" s="6"/>
      <c r="C28" s="46" t="s">
        <v>15</v>
      </c>
      <c r="D28" s="46" t="s">
        <v>17</v>
      </c>
      <c r="E28" s="46" t="s">
        <v>128</v>
      </c>
      <c r="F28" s="47">
        <v>1</v>
      </c>
      <c r="G28" s="41"/>
      <c r="H28" s="6"/>
    </row>
    <row r="29" spans="1:8" x14ac:dyDescent="0.4">
      <c r="A29" s="44">
        <v>45368</v>
      </c>
      <c r="B29" s="6" t="s">
        <v>129</v>
      </c>
      <c r="C29" s="46" t="s">
        <v>15</v>
      </c>
      <c r="D29" s="46" t="s">
        <v>17</v>
      </c>
      <c r="E29" s="46" t="s">
        <v>127</v>
      </c>
      <c r="F29" s="47">
        <v>7</v>
      </c>
      <c r="G29" s="41"/>
      <c r="H29" s="6"/>
    </row>
    <row r="30" spans="1:8" x14ac:dyDescent="0.4">
      <c r="A30" s="44"/>
      <c r="B30" s="6"/>
      <c r="C30" s="46" t="s">
        <v>15</v>
      </c>
      <c r="D30" s="46" t="s">
        <v>19</v>
      </c>
      <c r="E30" s="46" t="s">
        <v>130</v>
      </c>
      <c r="F30" s="47">
        <v>10.9</v>
      </c>
      <c r="G30" s="41"/>
      <c r="H30" s="6"/>
    </row>
    <row r="31" spans="1:8" x14ac:dyDescent="0.4">
      <c r="A31" s="44"/>
      <c r="B31" s="6"/>
      <c r="C31" s="46" t="s">
        <v>15</v>
      </c>
      <c r="D31" s="46" t="s">
        <v>44</v>
      </c>
      <c r="E31" s="46" t="s">
        <v>148</v>
      </c>
      <c r="F31" s="47">
        <v>372.07</v>
      </c>
      <c r="G31" s="41"/>
      <c r="H31" s="6"/>
    </row>
    <row r="32" spans="1:8" x14ac:dyDescent="0.4">
      <c r="A32" s="44"/>
      <c r="B32" s="6"/>
      <c r="C32" s="46" t="s">
        <v>15</v>
      </c>
      <c r="D32" s="46" t="s">
        <v>13</v>
      </c>
      <c r="E32" s="46" t="s">
        <v>131</v>
      </c>
      <c r="F32" s="47">
        <f>6+7.85</f>
        <v>13.85</v>
      </c>
      <c r="G32" s="41"/>
      <c r="H32" s="6"/>
    </row>
    <row r="33" spans="1:8" x14ac:dyDescent="0.4">
      <c r="A33" s="44">
        <v>45369</v>
      </c>
      <c r="B33" s="6" t="s">
        <v>132</v>
      </c>
      <c r="C33" s="46" t="s">
        <v>15</v>
      </c>
      <c r="D33" s="46" t="s">
        <v>19</v>
      </c>
      <c r="E33" s="46" t="s">
        <v>133</v>
      </c>
      <c r="F33" s="47">
        <f>3+13+14</f>
        <v>30</v>
      </c>
      <c r="G33" s="41"/>
      <c r="H33" s="6"/>
    </row>
    <row r="34" spans="1:8" x14ac:dyDescent="0.4">
      <c r="A34" s="44">
        <v>45370</v>
      </c>
      <c r="B34" s="6" t="s">
        <v>136</v>
      </c>
      <c r="C34" s="46" t="s">
        <v>15</v>
      </c>
      <c r="D34" s="46" t="s">
        <v>19</v>
      </c>
      <c r="E34" s="46" t="s">
        <v>134</v>
      </c>
      <c r="F34" s="47">
        <f>3+10+12</f>
        <v>25</v>
      </c>
      <c r="G34" s="41"/>
      <c r="H34" s="6"/>
    </row>
    <row r="35" spans="1:8" x14ac:dyDescent="0.4">
      <c r="A35" s="44"/>
      <c r="B35" s="6"/>
      <c r="C35" s="46" t="s">
        <v>15</v>
      </c>
      <c r="D35" s="46" t="s">
        <v>17</v>
      </c>
      <c r="E35" s="46" t="s">
        <v>135</v>
      </c>
      <c r="F35" s="47">
        <v>30</v>
      </c>
      <c r="G35" s="41"/>
      <c r="H35" s="6"/>
    </row>
    <row r="36" spans="1:8" x14ac:dyDescent="0.4">
      <c r="A36" s="44">
        <v>45371</v>
      </c>
      <c r="B36" s="6" t="s">
        <v>137</v>
      </c>
      <c r="C36" s="46" t="s">
        <v>15</v>
      </c>
      <c r="D36" s="46" t="s">
        <v>17</v>
      </c>
      <c r="E36" s="46" t="s">
        <v>134</v>
      </c>
      <c r="F36" s="47">
        <f>3+10+12</f>
        <v>25</v>
      </c>
      <c r="G36" s="41">
        <v>-1.95</v>
      </c>
      <c r="H36" s="6"/>
    </row>
    <row r="37" spans="1:8" x14ac:dyDescent="0.4">
      <c r="A37" s="44">
        <v>45372</v>
      </c>
      <c r="B37" s="6" t="s">
        <v>138</v>
      </c>
      <c r="C37" s="46" t="s">
        <v>15</v>
      </c>
      <c r="D37" s="46" t="s">
        <v>19</v>
      </c>
      <c r="E37" s="46" t="s">
        <v>139</v>
      </c>
      <c r="F37" s="47">
        <f>3.5+12+11</f>
        <v>26.5</v>
      </c>
      <c r="G37" s="41"/>
      <c r="H37" s="6"/>
    </row>
    <row r="38" spans="1:8" x14ac:dyDescent="0.4">
      <c r="A38" s="44"/>
      <c r="B38" s="6"/>
      <c r="C38" s="46" t="s">
        <v>15</v>
      </c>
      <c r="D38" s="46" t="s">
        <v>17</v>
      </c>
      <c r="E38" s="46" t="s">
        <v>80</v>
      </c>
      <c r="F38" s="47">
        <v>2.25</v>
      </c>
      <c r="G38" s="41"/>
      <c r="H38" s="6"/>
    </row>
    <row r="39" spans="1:8" x14ac:dyDescent="0.4">
      <c r="A39" s="44"/>
      <c r="B39" s="6"/>
      <c r="C39" s="6" t="s">
        <v>15</v>
      </c>
      <c r="D39" s="6" t="s">
        <v>10</v>
      </c>
      <c r="E39" s="6" t="s">
        <v>140</v>
      </c>
      <c r="F39" s="41">
        <v>0.6</v>
      </c>
      <c r="G39" s="41"/>
      <c r="H39" s="6"/>
    </row>
    <row r="40" spans="1:8" x14ac:dyDescent="0.4">
      <c r="A40" s="44">
        <v>45373</v>
      </c>
      <c r="B40" s="6" t="s">
        <v>141</v>
      </c>
      <c r="C40" s="6" t="s">
        <v>15</v>
      </c>
      <c r="D40" s="6" t="s">
        <v>19</v>
      </c>
      <c r="E40" s="6" t="s">
        <v>149</v>
      </c>
      <c r="F40" s="41">
        <f>3.5+12+8.89</f>
        <v>24.39</v>
      </c>
      <c r="G40" s="41"/>
      <c r="H40" s="6"/>
    </row>
    <row r="41" spans="1:8" x14ac:dyDescent="0.4">
      <c r="A41" s="44">
        <v>45345</v>
      </c>
      <c r="B41" s="6" t="s">
        <v>125</v>
      </c>
      <c r="C41" s="6" t="s">
        <v>15</v>
      </c>
      <c r="D41" s="6" t="s">
        <v>19</v>
      </c>
      <c r="E41" s="6" t="s">
        <v>142</v>
      </c>
      <c r="F41" s="41">
        <f>3+11+13</f>
        <v>27</v>
      </c>
      <c r="G41" s="41"/>
      <c r="H41" s="6"/>
    </row>
    <row r="42" spans="1:8" x14ac:dyDescent="0.4">
      <c r="A42" s="44"/>
      <c r="B42" s="6"/>
      <c r="C42" s="46" t="s">
        <v>15</v>
      </c>
      <c r="D42" s="46" t="s">
        <v>17</v>
      </c>
      <c r="E42" s="46" t="s">
        <v>193</v>
      </c>
      <c r="F42" s="47">
        <v>40</v>
      </c>
      <c r="G42" s="41"/>
      <c r="H42" s="6"/>
    </row>
    <row r="43" spans="1:8" x14ac:dyDescent="0.4">
      <c r="A43" s="44"/>
      <c r="B43" s="6"/>
      <c r="C43" s="6" t="s">
        <v>15</v>
      </c>
      <c r="D43" s="6" t="s">
        <v>17</v>
      </c>
      <c r="E43" s="6" t="s">
        <v>127</v>
      </c>
      <c r="F43" s="41">
        <v>10</v>
      </c>
      <c r="G43" s="41"/>
      <c r="H43" s="6"/>
    </row>
    <row r="44" spans="1:8" x14ac:dyDescent="0.4">
      <c r="A44" s="44">
        <v>45346</v>
      </c>
      <c r="B44" s="6" t="s">
        <v>129</v>
      </c>
      <c r="C44" s="6" t="s">
        <v>15</v>
      </c>
      <c r="D44" s="6" t="s">
        <v>17</v>
      </c>
      <c r="E44" s="6" t="s">
        <v>127</v>
      </c>
      <c r="F44" s="41">
        <v>10</v>
      </c>
      <c r="G44" s="41"/>
      <c r="H44" s="6"/>
    </row>
    <row r="45" spans="1:8" x14ac:dyDescent="0.4">
      <c r="A45" s="44"/>
      <c r="B45" s="6"/>
      <c r="C45" s="6" t="s">
        <v>15</v>
      </c>
      <c r="D45" s="6" t="s">
        <v>150</v>
      </c>
      <c r="E45" s="6">
        <v>9.89</v>
      </c>
      <c r="F45" s="41">
        <v>9.89</v>
      </c>
      <c r="G45" s="41"/>
      <c r="H45" s="6"/>
    </row>
    <row r="46" spans="1:8" x14ac:dyDescent="0.4">
      <c r="A46" s="44">
        <v>45376</v>
      </c>
      <c r="B46" s="6" t="s">
        <v>132</v>
      </c>
      <c r="C46" s="6" t="s">
        <v>15</v>
      </c>
      <c r="D46" s="6" t="s">
        <v>19</v>
      </c>
      <c r="E46" s="6" t="s">
        <v>143</v>
      </c>
      <c r="F46" s="41">
        <f>3+11+13.5</f>
        <v>27.5</v>
      </c>
      <c r="G46" s="41"/>
      <c r="H46" s="6"/>
    </row>
    <row r="47" spans="1:8" x14ac:dyDescent="0.4">
      <c r="A47" s="44">
        <v>45377</v>
      </c>
      <c r="B47" s="6" t="s">
        <v>136</v>
      </c>
      <c r="C47" s="6" t="s">
        <v>15</v>
      </c>
      <c r="D47" s="6" t="s">
        <v>19</v>
      </c>
      <c r="E47" s="6" t="s">
        <v>144</v>
      </c>
      <c r="F47" s="41">
        <f>3.5+12+10</f>
        <v>25.5</v>
      </c>
      <c r="G47" s="41"/>
      <c r="H47" s="6"/>
    </row>
    <row r="48" spans="1:8" x14ac:dyDescent="0.4">
      <c r="A48" s="44"/>
      <c r="B48" s="6"/>
      <c r="C48" s="46" t="s">
        <v>15</v>
      </c>
      <c r="D48" s="46" t="s">
        <v>17</v>
      </c>
      <c r="E48" s="46" t="s">
        <v>80</v>
      </c>
      <c r="F48" s="47">
        <v>2.25</v>
      </c>
      <c r="G48" s="41"/>
      <c r="H48" s="6" t="s">
        <v>153</v>
      </c>
    </row>
    <row r="49" spans="1:8" x14ac:dyDescent="0.4">
      <c r="A49" s="44">
        <v>45378</v>
      </c>
      <c r="B49" s="6" t="s">
        <v>137</v>
      </c>
      <c r="C49" s="6" t="s">
        <v>15</v>
      </c>
      <c r="D49" s="6" t="s">
        <v>19</v>
      </c>
      <c r="E49" s="6" t="s">
        <v>145</v>
      </c>
      <c r="F49" s="41">
        <f>5+10+9</f>
        <v>24</v>
      </c>
      <c r="G49" s="41"/>
      <c r="H49" s="6">
        <v>3652.67</v>
      </c>
    </row>
    <row r="50" spans="1:8" x14ac:dyDescent="0.4">
      <c r="A50" s="44"/>
      <c r="B50" s="6"/>
      <c r="C50" s="6" t="s">
        <v>15</v>
      </c>
      <c r="D50" s="6" t="s">
        <v>10</v>
      </c>
      <c r="E50" s="6" t="s">
        <v>151</v>
      </c>
      <c r="F50" s="41">
        <v>36</v>
      </c>
      <c r="G50" s="41"/>
      <c r="H50" s="41">
        <f>SUM(F4:F52)</f>
        <v>1710.69</v>
      </c>
    </row>
    <row r="51" spans="1:8" x14ac:dyDescent="0.4">
      <c r="A51" s="44">
        <v>45379</v>
      </c>
      <c r="B51" s="6" t="s">
        <v>138</v>
      </c>
      <c r="C51" s="6" t="s">
        <v>15</v>
      </c>
      <c r="D51" s="6" t="s">
        <v>19</v>
      </c>
      <c r="E51" s="6" t="s">
        <v>146</v>
      </c>
      <c r="F51" s="41">
        <f>3+10.5+12</f>
        <v>25.5</v>
      </c>
      <c r="G51" s="41"/>
      <c r="H51" s="41">
        <f>H50+SUM(G5:G52)</f>
        <v>1590.74</v>
      </c>
    </row>
    <row r="52" spans="1:8" x14ac:dyDescent="0.4">
      <c r="A52" s="44">
        <v>45380</v>
      </c>
      <c r="B52" s="6" t="s">
        <v>141</v>
      </c>
      <c r="C52" s="6" t="s">
        <v>15</v>
      </c>
      <c r="D52" s="6" t="s">
        <v>19</v>
      </c>
      <c r="E52" s="6" t="s">
        <v>147</v>
      </c>
      <c r="F52" s="41">
        <f>3.5+12+12</f>
        <v>27.5</v>
      </c>
      <c r="G52" s="41"/>
      <c r="H52" s="6"/>
    </row>
    <row r="53" spans="1:8" x14ac:dyDescent="0.4">
      <c r="A53" s="44">
        <v>45381</v>
      </c>
      <c r="B53" s="6" t="s">
        <v>29</v>
      </c>
      <c r="C53" s="6" t="s">
        <v>15</v>
      </c>
      <c r="D53" s="6" t="s">
        <v>19</v>
      </c>
      <c r="E53" s="6" t="s">
        <v>154</v>
      </c>
      <c r="F53" s="41">
        <f>5+10+10.5</f>
        <v>25.5</v>
      </c>
      <c r="G53" s="41"/>
      <c r="H53" s="6"/>
    </row>
    <row r="54" spans="1:8" x14ac:dyDescent="0.4">
      <c r="A54" s="44"/>
      <c r="B54" s="6"/>
      <c r="C54" s="6" t="s">
        <v>15</v>
      </c>
      <c r="D54" s="6" t="s">
        <v>17</v>
      </c>
      <c r="E54" s="6" t="s">
        <v>155</v>
      </c>
      <c r="F54" s="41">
        <v>10</v>
      </c>
      <c r="G54" s="41"/>
      <c r="H54" s="6"/>
    </row>
    <row r="55" spans="1:8" x14ac:dyDescent="0.4">
      <c r="A55" s="44">
        <v>45382</v>
      </c>
      <c r="B55" s="6" t="s">
        <v>31</v>
      </c>
      <c r="C55" s="6" t="s">
        <v>15</v>
      </c>
      <c r="D55" s="6" t="s">
        <v>17</v>
      </c>
      <c r="E55" s="6" t="s">
        <v>18</v>
      </c>
      <c r="F55" s="41">
        <f>5+2+2+5+5.27</f>
        <v>19.27</v>
      </c>
      <c r="G55" s="41"/>
      <c r="H55" s="6"/>
    </row>
    <row r="56" spans="1:8" x14ac:dyDescent="0.4">
      <c r="A56" s="44"/>
      <c r="B56" s="6"/>
      <c r="C56" s="6" t="s">
        <v>15</v>
      </c>
      <c r="D56" s="6" t="s">
        <v>19</v>
      </c>
      <c r="E56" s="6" t="s">
        <v>156</v>
      </c>
      <c r="F56" s="41">
        <f>5+9+12</f>
        <v>26</v>
      </c>
      <c r="G56" s="41"/>
      <c r="H56" s="6"/>
    </row>
    <row r="57" spans="1:8" x14ac:dyDescent="0.4">
      <c r="A57" s="44"/>
      <c r="B57" s="6"/>
      <c r="C57" s="6"/>
      <c r="D57" s="6"/>
      <c r="E57" s="6"/>
      <c r="F57" s="41"/>
      <c r="G57" s="41"/>
      <c r="H57" s="6"/>
    </row>
    <row r="58" spans="1:8" x14ac:dyDescent="0.4">
      <c r="A58" s="44"/>
      <c r="B58" s="6"/>
      <c r="C58" s="6"/>
      <c r="D58" s="6"/>
      <c r="E58" s="6"/>
      <c r="F58" s="41"/>
      <c r="G58" s="41"/>
      <c r="H58" s="6"/>
    </row>
    <row r="59" spans="1:8" x14ac:dyDescent="0.4">
      <c r="A59" s="44"/>
      <c r="B59" s="6"/>
      <c r="C59" s="6"/>
      <c r="D59" s="6"/>
      <c r="E59" s="6"/>
      <c r="F59" s="41"/>
      <c r="G59" s="41"/>
      <c r="H59" s="6"/>
    </row>
    <row r="60" spans="1:8" x14ac:dyDescent="0.4">
      <c r="A60" s="44"/>
      <c r="B60" s="6"/>
      <c r="C60" s="6"/>
      <c r="D60" s="6"/>
      <c r="E60" s="6"/>
      <c r="F60" s="41"/>
      <c r="G60" s="41"/>
      <c r="H60" s="6"/>
    </row>
    <row r="61" spans="1:8" x14ac:dyDescent="0.4">
      <c r="A61" s="44"/>
      <c r="B61" s="6"/>
      <c r="C61" s="6"/>
      <c r="D61" s="6"/>
      <c r="E61" s="6"/>
      <c r="F61" s="41"/>
      <c r="G61" s="41"/>
      <c r="H61" s="6"/>
    </row>
    <row r="62" spans="1:8" x14ac:dyDescent="0.4">
      <c r="A62" s="44"/>
      <c r="B62" s="6"/>
      <c r="C62" s="6"/>
      <c r="D62" s="6"/>
      <c r="E62" s="6"/>
      <c r="F62" s="41"/>
      <c r="G62" s="41"/>
      <c r="H62" s="6"/>
    </row>
    <row r="63" spans="1:8" x14ac:dyDescent="0.4">
      <c r="A63" s="44"/>
      <c r="B63" s="6"/>
      <c r="C63" s="6"/>
      <c r="D63" s="6"/>
      <c r="E63" s="6"/>
      <c r="F63" s="41"/>
      <c r="G63" s="41"/>
      <c r="H63" s="6"/>
    </row>
    <row r="64" spans="1:8" x14ac:dyDescent="0.4">
      <c r="A64" s="44"/>
      <c r="B64" s="6"/>
      <c r="C64" s="6"/>
      <c r="D64" s="6"/>
      <c r="E64" s="6"/>
      <c r="F64" s="41"/>
      <c r="G64" s="41"/>
      <c r="H64" s="6"/>
    </row>
    <row r="65" spans="1:8" x14ac:dyDescent="0.4">
      <c r="A65" s="44"/>
      <c r="B65" s="6"/>
      <c r="C65" s="6"/>
      <c r="D65" s="6"/>
      <c r="E65" s="6"/>
      <c r="F65" s="41"/>
      <c r="G65" s="41"/>
      <c r="H65" s="6"/>
    </row>
    <row r="66" spans="1:8" x14ac:dyDescent="0.4">
      <c r="A66" s="44"/>
      <c r="B66" s="6"/>
      <c r="C66" s="6"/>
      <c r="D66" s="6"/>
      <c r="E66" s="6"/>
      <c r="F66" s="41"/>
      <c r="G66" s="41"/>
      <c r="H66" s="6"/>
    </row>
    <row r="67" spans="1:8" x14ac:dyDescent="0.4">
      <c r="A67" s="44"/>
      <c r="B67" s="6"/>
      <c r="C67" s="6"/>
      <c r="D67" s="6"/>
      <c r="E67" s="6"/>
      <c r="F67" s="41"/>
      <c r="G67" s="41"/>
      <c r="H67" s="6"/>
    </row>
    <row r="68" spans="1:8" x14ac:dyDescent="0.4">
      <c r="A68" s="44"/>
      <c r="B68" s="6"/>
      <c r="C68" s="6"/>
      <c r="D68" s="6"/>
      <c r="E68" s="6"/>
      <c r="F68" s="41"/>
      <c r="G68" s="41"/>
      <c r="H68" s="6"/>
    </row>
    <row r="69" spans="1:8" x14ac:dyDescent="0.4">
      <c r="A69" s="44"/>
      <c r="B69" s="6"/>
      <c r="C69" s="6"/>
      <c r="D69" s="6"/>
      <c r="E69" s="6"/>
      <c r="F69" s="41"/>
      <c r="G69" s="41"/>
      <c r="H69" s="6"/>
    </row>
    <row r="70" spans="1:8" x14ac:dyDescent="0.4">
      <c r="A70" s="44"/>
      <c r="B70" s="6"/>
      <c r="C70" s="6"/>
      <c r="D70" s="6"/>
      <c r="E70" s="6"/>
      <c r="F70" s="41"/>
      <c r="G70" s="41"/>
      <c r="H70" s="6"/>
    </row>
    <row r="71" spans="1:8" x14ac:dyDescent="0.4">
      <c r="A71" s="44"/>
      <c r="B71" s="6"/>
      <c r="C71" s="6"/>
      <c r="D71" s="6"/>
      <c r="E71" s="6"/>
      <c r="F71" s="41"/>
      <c r="G71" s="41"/>
      <c r="H71" s="6"/>
    </row>
    <row r="72" spans="1:8" x14ac:dyDescent="0.4">
      <c r="A72" s="44"/>
      <c r="B72" s="6"/>
      <c r="C72" s="6"/>
      <c r="D72" s="6"/>
      <c r="E72" s="6"/>
      <c r="F72" s="41"/>
      <c r="G72" s="41"/>
      <c r="H72" s="6"/>
    </row>
    <row r="73" spans="1:8" x14ac:dyDescent="0.4">
      <c r="A73" s="44"/>
      <c r="B73" s="6"/>
      <c r="C73" s="6"/>
      <c r="D73" s="6"/>
      <c r="E73" s="6"/>
      <c r="F73" s="41"/>
      <c r="G73" s="41"/>
      <c r="H73" s="6"/>
    </row>
    <row r="74" spans="1:8" x14ac:dyDescent="0.4">
      <c r="A74" s="44"/>
      <c r="B74" s="6"/>
      <c r="C74" s="6"/>
      <c r="D74" s="6"/>
      <c r="E74" s="6"/>
      <c r="F74" s="41"/>
      <c r="G74" s="41"/>
      <c r="H74" s="6"/>
    </row>
    <row r="75" spans="1:8" x14ac:dyDescent="0.4">
      <c r="A75" s="44"/>
      <c r="B75" s="6"/>
      <c r="C75" s="6"/>
      <c r="D75" s="6"/>
      <c r="E75" s="6"/>
      <c r="F75" s="41"/>
      <c r="G75" s="41"/>
      <c r="H75" s="6"/>
    </row>
    <row r="76" spans="1:8" x14ac:dyDescent="0.4">
      <c r="A76" s="44"/>
      <c r="B76" s="6"/>
      <c r="C76" s="6"/>
      <c r="D76" s="6"/>
      <c r="E76" s="6"/>
      <c r="F76" s="41"/>
      <c r="G76" s="41"/>
      <c r="H76" s="6"/>
    </row>
    <row r="77" spans="1:8" x14ac:dyDescent="0.4">
      <c r="A77" s="44"/>
      <c r="B77" s="6"/>
      <c r="C77" s="6"/>
      <c r="D77" s="6"/>
      <c r="E77" s="6"/>
      <c r="F77" s="41"/>
      <c r="G77" s="41"/>
      <c r="H77" s="6"/>
    </row>
    <row r="78" spans="1:8" x14ac:dyDescent="0.4">
      <c r="A78" s="44"/>
      <c r="B78" s="6"/>
      <c r="C78" s="6"/>
      <c r="D78" s="6"/>
      <c r="E78" s="6"/>
      <c r="F78" s="41"/>
      <c r="G78" s="41"/>
      <c r="H78" s="6"/>
    </row>
    <row r="79" spans="1:8" x14ac:dyDescent="0.4">
      <c r="A79" s="44"/>
      <c r="B79" s="6"/>
      <c r="C79" s="6"/>
      <c r="D79" s="6"/>
      <c r="E79" s="6"/>
      <c r="F79" s="41"/>
      <c r="G79" s="41"/>
      <c r="H79" s="6"/>
    </row>
  </sheetData>
  <protectedRanges>
    <protectedRange sqref="A4:H79" name="编辑区"/>
  </protectedRanges>
  <autoFilter ref="A3:H57" xr:uid="{7F072118-2C6A-409A-93A7-9261B05CCA2C}"/>
  <mergeCells count="2">
    <mergeCell ref="A1:B2"/>
    <mergeCell ref="C1:H2"/>
  </mergeCells>
  <phoneticPr fontId="1" type="noConversion"/>
  <conditionalFormatting sqref="G12">
    <cfRule type="cellIs" dxfId="2" priority="1" operator="lessThan">
      <formula>0</formula>
    </cfRule>
  </conditionalFormatting>
  <dataValidations count="3">
    <dataValidation type="list" allowBlank="1" showInputMessage="1" showErrorMessage="1" sqref="B4" xr:uid="{EBD27F7E-3271-4406-B87C-86686B4D2F25}">
      <formula1>"MO,TU,WE,TH,FR,SA,SU"</formula1>
    </dataValidation>
    <dataValidation type="list" allowBlank="1" showInputMessage="1" showErrorMessage="1" sqref="C3:C79" xr:uid="{141F2A7E-B94A-408A-A70D-318DCE716654}">
      <formula1>"收,支"</formula1>
    </dataValidation>
    <dataValidation type="list" allowBlank="1" showInputMessage="1" showErrorMessage="1" sqref="D3:D79" xr:uid="{33A39D3E-42E9-4B74-8C64-4EAA1A05B7BD}">
      <formula1>"饮食,学习,生活,外务,增值,特别立项"</formula1>
    </dataValidation>
  </dataValidations>
  <hyperlinks>
    <hyperlink ref="A1:B2" location="主页!A1" display="返回主页" xr:uid="{235C3CBE-2DB2-4A24-8639-4A2D1C1A0C1E}"/>
    <hyperlink ref="C1:H2" location="Sheet48最后数!A1" display="三月综合财报" xr:uid="{3FC67751-254C-479E-B431-617B403FF97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77F7-E996-451E-9748-CE381948CFEA}">
  <sheetPr codeName="Sheet5"/>
  <dimension ref="A1:L79"/>
  <sheetViews>
    <sheetView topLeftCell="A8" zoomScale="85" zoomScaleNormal="85" workbookViewId="0">
      <selection sqref="A1:B2"/>
    </sheetView>
  </sheetViews>
  <sheetFormatPr defaultRowHeight="13.9" x14ac:dyDescent="0.4"/>
  <cols>
    <col min="1" max="1" width="13.73046875" customWidth="1"/>
    <col min="3" max="3" width="10.33203125" customWidth="1"/>
    <col min="4" max="4" width="11.796875" customWidth="1"/>
    <col min="5" max="5" width="63.53125" customWidth="1"/>
    <col min="6" max="6" width="12.73046875" customWidth="1"/>
    <col min="8" max="8" width="9.3984375" bestFit="1" customWidth="1"/>
  </cols>
  <sheetData>
    <row r="1" spans="1:12" ht="13.9" customHeight="1" x14ac:dyDescent="0.4">
      <c r="A1" s="78" t="s">
        <v>1</v>
      </c>
      <c r="B1" s="78"/>
      <c r="C1" s="86" t="s">
        <v>152</v>
      </c>
      <c r="D1" s="87"/>
      <c r="E1" s="87"/>
      <c r="F1" s="87"/>
      <c r="G1" s="87"/>
      <c r="H1" s="87"/>
      <c r="I1" s="48"/>
      <c r="J1" s="48"/>
      <c r="K1" s="48"/>
      <c r="L1" s="48"/>
    </row>
    <row r="2" spans="1:12" ht="36" customHeight="1" x14ac:dyDescent="0.4">
      <c r="A2" s="78"/>
      <c r="B2" s="78"/>
      <c r="C2" s="87"/>
      <c r="D2" s="87"/>
      <c r="E2" s="87"/>
      <c r="F2" s="87"/>
      <c r="G2" s="87"/>
      <c r="H2" s="87"/>
    </row>
    <row r="3" spans="1:12" x14ac:dyDescent="0.4">
      <c r="A3" s="44" t="s">
        <v>0</v>
      </c>
      <c r="B3" s="6" t="s">
        <v>3</v>
      </c>
      <c r="C3" s="6" t="s">
        <v>5</v>
      </c>
      <c r="D3" s="6" t="s">
        <v>4</v>
      </c>
      <c r="E3" s="6" t="s">
        <v>6</v>
      </c>
      <c r="F3" s="41" t="s">
        <v>7</v>
      </c>
      <c r="G3" s="41" t="s">
        <v>8</v>
      </c>
      <c r="H3" s="6" t="s">
        <v>9</v>
      </c>
    </row>
    <row r="4" spans="1:12" x14ac:dyDescent="0.4">
      <c r="A4" s="44">
        <v>45383</v>
      </c>
      <c r="B4" s="6" t="s">
        <v>11</v>
      </c>
      <c r="C4" s="6" t="s">
        <v>15</v>
      </c>
      <c r="D4" s="6" t="s">
        <v>19</v>
      </c>
      <c r="E4" s="6" t="s">
        <v>100</v>
      </c>
      <c r="F4" s="41">
        <v>23</v>
      </c>
      <c r="G4" s="41"/>
      <c r="H4" s="6"/>
    </row>
    <row r="5" spans="1:12" x14ac:dyDescent="0.4">
      <c r="A5" s="44">
        <v>45384</v>
      </c>
      <c r="B5" s="6" t="s">
        <v>20</v>
      </c>
      <c r="C5" s="6" t="s">
        <v>15</v>
      </c>
      <c r="D5" s="6" t="s">
        <v>19</v>
      </c>
      <c r="E5" s="6" t="s">
        <v>158</v>
      </c>
      <c r="F5" s="41">
        <f>3+10.5+13</f>
        <v>26.5</v>
      </c>
      <c r="G5" s="41"/>
      <c r="H5" s="6"/>
    </row>
    <row r="6" spans="1:12" x14ac:dyDescent="0.4">
      <c r="A6" s="44"/>
      <c r="B6" s="6"/>
      <c r="C6" s="6" t="s">
        <v>15</v>
      </c>
      <c r="D6" s="6" t="s">
        <v>10</v>
      </c>
      <c r="E6" s="6" t="s">
        <v>159</v>
      </c>
      <c r="F6" s="41">
        <v>10</v>
      </c>
      <c r="G6" s="41"/>
      <c r="H6" s="6"/>
    </row>
    <row r="7" spans="1:12" x14ac:dyDescent="0.4">
      <c r="A7" s="44"/>
      <c r="B7" s="6"/>
      <c r="C7" s="6" t="s">
        <v>15</v>
      </c>
      <c r="D7" s="6" t="s">
        <v>10</v>
      </c>
      <c r="E7" s="6" t="s">
        <v>160</v>
      </c>
      <c r="F7" s="41">
        <v>40</v>
      </c>
      <c r="G7" s="41"/>
      <c r="H7" s="6"/>
    </row>
    <row r="8" spans="1:12" x14ac:dyDescent="0.4">
      <c r="A8" s="44"/>
      <c r="B8" s="6"/>
      <c r="C8" s="6" t="s">
        <v>15</v>
      </c>
      <c r="D8" s="6" t="s">
        <v>17</v>
      </c>
      <c r="E8" s="6" t="s">
        <v>80</v>
      </c>
      <c r="F8" s="41">
        <v>2.25</v>
      </c>
      <c r="G8" s="41"/>
      <c r="H8" s="6"/>
    </row>
    <row r="9" spans="1:12" x14ac:dyDescent="0.4">
      <c r="A9" s="44">
        <v>45385</v>
      </c>
      <c r="B9" s="6" t="s">
        <v>22</v>
      </c>
      <c r="C9" s="6" t="s">
        <v>15</v>
      </c>
      <c r="D9" s="6" t="s">
        <v>19</v>
      </c>
      <c r="E9" s="6" t="s">
        <v>161</v>
      </c>
      <c r="F9" s="41">
        <f>3.5+1.8+10+10.5</f>
        <v>25.8</v>
      </c>
      <c r="G9" s="41"/>
      <c r="H9" s="6"/>
    </row>
    <row r="10" spans="1:12" x14ac:dyDescent="0.4">
      <c r="A10" s="44"/>
      <c r="B10" s="6"/>
      <c r="C10" s="6" t="s">
        <v>15</v>
      </c>
      <c r="D10" s="6" t="s">
        <v>17</v>
      </c>
      <c r="E10" s="6" t="s">
        <v>18</v>
      </c>
      <c r="F10" s="41">
        <f>2+8</f>
        <v>10</v>
      </c>
      <c r="G10" s="41"/>
      <c r="H10" s="6"/>
    </row>
    <row r="11" spans="1:12" x14ac:dyDescent="0.4">
      <c r="A11" s="44"/>
      <c r="B11" s="6"/>
      <c r="C11" s="46" t="s">
        <v>15</v>
      </c>
      <c r="D11" s="46" t="s">
        <v>17</v>
      </c>
      <c r="E11" s="46" t="s">
        <v>80</v>
      </c>
      <c r="F11" s="47">
        <v>2.25</v>
      </c>
      <c r="G11" s="41"/>
      <c r="H11" s="6"/>
    </row>
    <row r="12" spans="1:12" x14ac:dyDescent="0.4">
      <c r="A12" s="44">
        <v>45388</v>
      </c>
      <c r="B12" s="6" t="s">
        <v>29</v>
      </c>
      <c r="C12" s="6" t="s">
        <v>15</v>
      </c>
      <c r="D12" s="6" t="s">
        <v>19</v>
      </c>
      <c r="E12" s="6" t="s">
        <v>162</v>
      </c>
      <c r="F12" s="41">
        <f>11+10</f>
        <v>21</v>
      </c>
      <c r="G12" s="41"/>
      <c r="H12" s="6"/>
    </row>
    <row r="13" spans="1:12" x14ac:dyDescent="0.4">
      <c r="A13" s="44"/>
      <c r="B13" s="6"/>
      <c r="C13" s="6" t="s">
        <v>15</v>
      </c>
      <c r="D13" s="6" t="s">
        <v>17</v>
      </c>
      <c r="E13" s="6" t="s">
        <v>18</v>
      </c>
      <c r="F13" s="41">
        <v>7</v>
      </c>
      <c r="G13" s="41"/>
      <c r="H13" s="6"/>
    </row>
    <row r="14" spans="1:12" x14ac:dyDescent="0.4">
      <c r="A14" s="44">
        <v>45389</v>
      </c>
      <c r="B14" s="6" t="s">
        <v>31</v>
      </c>
      <c r="C14" s="6" t="s">
        <v>15</v>
      </c>
      <c r="D14" s="6" t="s">
        <v>17</v>
      </c>
      <c r="E14" s="6" t="s">
        <v>155</v>
      </c>
      <c r="F14" s="41">
        <f>10+30</f>
        <v>40</v>
      </c>
      <c r="G14" s="41"/>
      <c r="H14" s="6"/>
    </row>
    <row r="15" spans="1:12" x14ac:dyDescent="0.4">
      <c r="A15" s="44"/>
      <c r="B15" s="6"/>
      <c r="C15" s="6" t="s">
        <v>15</v>
      </c>
      <c r="D15" s="6" t="s">
        <v>17</v>
      </c>
      <c r="E15" s="6" t="s">
        <v>163</v>
      </c>
      <c r="F15" s="41">
        <v>20.239999999999998</v>
      </c>
      <c r="G15" s="41"/>
      <c r="H15" s="6"/>
    </row>
    <row r="16" spans="1:12" x14ac:dyDescent="0.4">
      <c r="A16" s="44"/>
      <c r="B16" s="6"/>
      <c r="C16" s="6" t="s">
        <v>15</v>
      </c>
      <c r="D16" s="6" t="s">
        <v>19</v>
      </c>
      <c r="E16" s="6" t="s">
        <v>164</v>
      </c>
      <c r="F16" s="41">
        <f>2.5+13+12</f>
        <v>27.5</v>
      </c>
      <c r="G16" s="41"/>
      <c r="H16" s="6"/>
    </row>
    <row r="17" spans="1:8" x14ac:dyDescent="0.4">
      <c r="A17" s="44">
        <v>45390</v>
      </c>
      <c r="B17" s="6" t="s">
        <v>33</v>
      </c>
      <c r="C17" s="6" t="s">
        <v>15</v>
      </c>
      <c r="D17" s="6" t="s">
        <v>19</v>
      </c>
      <c r="E17" s="6" t="s">
        <v>165</v>
      </c>
      <c r="F17" s="41">
        <f>3+12.5+13</f>
        <v>28.5</v>
      </c>
      <c r="G17" s="41"/>
      <c r="H17" s="6"/>
    </row>
    <row r="18" spans="1:8" x14ac:dyDescent="0.4">
      <c r="A18" s="44">
        <v>45391</v>
      </c>
      <c r="B18" s="6" t="s">
        <v>20</v>
      </c>
      <c r="C18" s="6" t="s">
        <v>15</v>
      </c>
      <c r="D18" s="6" t="s">
        <v>19</v>
      </c>
      <c r="E18" s="6" t="s">
        <v>166</v>
      </c>
      <c r="F18" s="41">
        <f>4.5+10+12</f>
        <v>26.5</v>
      </c>
      <c r="G18" s="41"/>
      <c r="H18" s="41"/>
    </row>
    <row r="19" spans="1:8" x14ac:dyDescent="0.4">
      <c r="A19" s="44"/>
      <c r="B19" s="6"/>
      <c r="C19" s="46" t="s">
        <v>15</v>
      </c>
      <c r="D19" s="46" t="s">
        <v>17</v>
      </c>
      <c r="E19" s="46" t="s">
        <v>80</v>
      </c>
      <c r="F19" s="47">
        <v>2.25</v>
      </c>
      <c r="G19" s="41"/>
      <c r="H19" s="41"/>
    </row>
    <row r="20" spans="1:8" x14ac:dyDescent="0.4">
      <c r="A20" s="44">
        <v>45392</v>
      </c>
      <c r="B20" s="6" t="s">
        <v>22</v>
      </c>
      <c r="C20" s="6" t="s">
        <v>15</v>
      </c>
      <c r="D20" s="6" t="s">
        <v>19</v>
      </c>
      <c r="E20" s="6" t="s">
        <v>167</v>
      </c>
      <c r="F20" s="41">
        <f>4+10+12</f>
        <v>26</v>
      </c>
      <c r="G20" s="41"/>
      <c r="H20" s="6"/>
    </row>
    <row r="21" spans="1:8" x14ac:dyDescent="0.4">
      <c r="A21" s="44"/>
      <c r="B21" s="6"/>
      <c r="C21" s="6" t="s">
        <v>15</v>
      </c>
      <c r="D21" s="6" t="s">
        <v>10</v>
      </c>
      <c r="E21" s="6" t="s">
        <v>168</v>
      </c>
      <c r="F21" s="41">
        <f>0.4+2.68</f>
        <v>3.08</v>
      </c>
      <c r="G21" s="41"/>
      <c r="H21" s="6"/>
    </row>
    <row r="22" spans="1:8" x14ac:dyDescent="0.4">
      <c r="A22" s="44">
        <v>45393</v>
      </c>
      <c r="B22" s="6" t="s">
        <v>23</v>
      </c>
      <c r="C22" s="6" t="s">
        <v>15</v>
      </c>
      <c r="D22" s="6" t="s">
        <v>19</v>
      </c>
      <c r="E22" s="6" t="s">
        <v>169</v>
      </c>
      <c r="F22" s="41">
        <f>2.5+10+13</f>
        <v>25.5</v>
      </c>
      <c r="G22" s="41"/>
      <c r="H22" s="6"/>
    </row>
    <row r="23" spans="1:8" x14ac:dyDescent="0.4">
      <c r="A23" s="44">
        <v>45394</v>
      </c>
      <c r="B23" s="6" t="s">
        <v>24</v>
      </c>
      <c r="C23" s="6" t="s">
        <v>15</v>
      </c>
      <c r="D23" s="6" t="s">
        <v>19</v>
      </c>
      <c r="E23" s="6" t="s">
        <v>170</v>
      </c>
      <c r="F23" s="41">
        <f>4+13+12</f>
        <v>29</v>
      </c>
      <c r="G23" s="41"/>
      <c r="H23" s="6"/>
    </row>
    <row r="24" spans="1:8" x14ac:dyDescent="0.4">
      <c r="A24" s="44">
        <v>45395</v>
      </c>
      <c r="B24" s="6" t="s">
        <v>29</v>
      </c>
      <c r="C24" s="6" t="s">
        <v>15</v>
      </c>
      <c r="D24" s="6" t="s">
        <v>19</v>
      </c>
      <c r="E24" s="6" t="s">
        <v>171</v>
      </c>
      <c r="F24" s="41">
        <f>6+13.5</f>
        <v>19.5</v>
      </c>
      <c r="G24" s="41"/>
      <c r="H24" s="6"/>
    </row>
    <row r="25" spans="1:8" x14ac:dyDescent="0.4">
      <c r="A25" s="44"/>
      <c r="B25" s="6"/>
      <c r="C25" s="6" t="s">
        <v>15</v>
      </c>
      <c r="D25" s="6" t="s">
        <v>17</v>
      </c>
      <c r="E25" s="6" t="s">
        <v>18</v>
      </c>
      <c r="F25" s="41">
        <v>8</v>
      </c>
      <c r="G25" s="41"/>
      <c r="H25" s="6"/>
    </row>
    <row r="26" spans="1:8" x14ac:dyDescent="0.4">
      <c r="A26" s="44"/>
      <c r="B26" s="6"/>
      <c r="C26" s="6" t="s">
        <v>15</v>
      </c>
      <c r="D26" s="6" t="s">
        <v>17</v>
      </c>
      <c r="E26" s="6" t="s">
        <v>181</v>
      </c>
      <c r="F26" s="41">
        <v>29.7</v>
      </c>
      <c r="G26" s="41"/>
      <c r="H26" s="6"/>
    </row>
    <row r="27" spans="1:8" x14ac:dyDescent="0.4">
      <c r="A27" s="44">
        <v>45396</v>
      </c>
      <c r="B27" s="6" t="s">
        <v>31</v>
      </c>
      <c r="C27" s="6" t="s">
        <v>15</v>
      </c>
      <c r="D27" s="6" t="s">
        <v>17</v>
      </c>
      <c r="E27" s="6" t="s">
        <v>18</v>
      </c>
      <c r="F27" s="41">
        <f>2+5+5</f>
        <v>12</v>
      </c>
      <c r="G27" s="41"/>
      <c r="H27" s="6"/>
    </row>
    <row r="28" spans="1:8" x14ac:dyDescent="0.4">
      <c r="A28" s="44"/>
      <c r="B28" s="6"/>
      <c r="C28" s="46" t="s">
        <v>15</v>
      </c>
      <c r="D28" s="46" t="s">
        <v>17</v>
      </c>
      <c r="E28" s="46" t="s">
        <v>172</v>
      </c>
      <c r="F28" s="47">
        <v>50</v>
      </c>
      <c r="G28" s="41"/>
      <c r="H28" s="6"/>
    </row>
    <row r="29" spans="1:8" x14ac:dyDescent="0.4">
      <c r="A29" s="44"/>
      <c r="B29" s="6"/>
      <c r="C29" s="46" t="s">
        <v>15</v>
      </c>
      <c r="D29" s="46" t="s">
        <v>19</v>
      </c>
      <c r="E29" s="46">
        <v>10</v>
      </c>
      <c r="F29" s="47">
        <v>10</v>
      </c>
      <c r="G29" s="41"/>
      <c r="H29" s="6"/>
    </row>
    <row r="30" spans="1:8" x14ac:dyDescent="0.4">
      <c r="A30" s="44"/>
      <c r="B30" s="6"/>
      <c r="C30" s="46" t="s">
        <v>15</v>
      </c>
      <c r="D30" s="46" t="s">
        <v>17</v>
      </c>
      <c r="E30" s="46" t="s">
        <v>80</v>
      </c>
      <c r="F30" s="47">
        <v>2.25</v>
      </c>
      <c r="G30" s="41"/>
      <c r="H30" s="6"/>
    </row>
    <row r="31" spans="1:8" x14ac:dyDescent="0.4">
      <c r="A31" s="44">
        <v>45397</v>
      </c>
      <c r="B31" s="6" t="s">
        <v>33</v>
      </c>
      <c r="C31" s="46" t="s">
        <v>15</v>
      </c>
      <c r="D31" s="46" t="s">
        <v>19</v>
      </c>
      <c r="E31" s="46" t="s">
        <v>173</v>
      </c>
      <c r="F31" s="47">
        <f>4+11.5+10</f>
        <v>25.5</v>
      </c>
      <c r="G31" s="41"/>
      <c r="H31" s="6"/>
    </row>
    <row r="32" spans="1:8" x14ac:dyDescent="0.4">
      <c r="A32" s="44">
        <v>45398</v>
      </c>
      <c r="B32" s="6" t="s">
        <v>20</v>
      </c>
      <c r="C32" s="46" t="s">
        <v>15</v>
      </c>
      <c r="D32" s="46" t="s">
        <v>19</v>
      </c>
      <c r="E32" s="46" t="s">
        <v>174</v>
      </c>
      <c r="F32" s="47">
        <f>4+12+12</f>
        <v>28</v>
      </c>
      <c r="G32" s="41"/>
      <c r="H32" s="6"/>
    </row>
    <row r="33" spans="1:8" x14ac:dyDescent="0.4">
      <c r="A33" s="44">
        <v>45399</v>
      </c>
      <c r="B33" s="6" t="s">
        <v>22</v>
      </c>
      <c r="C33" s="46" t="s">
        <v>15</v>
      </c>
      <c r="D33" s="46" t="s">
        <v>19</v>
      </c>
      <c r="E33" s="46" t="s">
        <v>175</v>
      </c>
      <c r="F33" s="47">
        <f>4.5+13+13</f>
        <v>30.5</v>
      </c>
      <c r="G33" s="41"/>
      <c r="H33" s="6"/>
    </row>
    <row r="34" spans="1:8" x14ac:dyDescent="0.4">
      <c r="A34" s="44">
        <v>45400</v>
      </c>
      <c r="B34" s="6" t="s">
        <v>23</v>
      </c>
      <c r="C34" s="46" t="s">
        <v>15</v>
      </c>
      <c r="D34" s="46" t="s">
        <v>19</v>
      </c>
      <c r="E34" s="46" t="s">
        <v>176</v>
      </c>
      <c r="F34" s="47">
        <f>4+11+11</f>
        <v>26</v>
      </c>
      <c r="G34" s="41"/>
      <c r="H34" s="6"/>
    </row>
    <row r="35" spans="1:8" x14ac:dyDescent="0.4">
      <c r="A35" s="44"/>
      <c r="B35" s="6"/>
      <c r="C35" s="46" t="s">
        <v>15</v>
      </c>
      <c r="D35" s="46" t="s">
        <v>17</v>
      </c>
      <c r="E35" s="46" t="s">
        <v>80</v>
      </c>
      <c r="F35" s="47">
        <v>2.25</v>
      </c>
      <c r="G35" s="41"/>
      <c r="H35" s="6"/>
    </row>
    <row r="36" spans="1:8" x14ac:dyDescent="0.4">
      <c r="A36" s="44"/>
      <c r="B36" s="6"/>
      <c r="C36" s="46" t="s">
        <v>15</v>
      </c>
      <c r="D36" s="46" t="s">
        <v>44</v>
      </c>
      <c r="E36" s="46" t="s">
        <v>182</v>
      </c>
      <c r="F36" s="47">
        <v>372.07</v>
      </c>
      <c r="G36" s="47"/>
      <c r="H36" s="6"/>
    </row>
    <row r="37" spans="1:8" x14ac:dyDescent="0.4">
      <c r="A37" s="44">
        <v>45401</v>
      </c>
      <c r="B37" s="6" t="s">
        <v>24</v>
      </c>
      <c r="C37" s="46" t="s">
        <v>15</v>
      </c>
      <c r="D37" s="46" t="s">
        <v>19</v>
      </c>
      <c r="E37" s="46" t="s">
        <v>177</v>
      </c>
      <c r="F37" s="47">
        <f>4+12+10</f>
        <v>26</v>
      </c>
      <c r="G37" s="41"/>
      <c r="H37" s="6"/>
    </row>
    <row r="38" spans="1:8" x14ac:dyDescent="0.4">
      <c r="A38" s="44">
        <v>45402</v>
      </c>
      <c r="B38" s="6" t="s">
        <v>29</v>
      </c>
      <c r="C38" s="46" t="s">
        <v>15</v>
      </c>
      <c r="D38" s="46" t="s">
        <v>19</v>
      </c>
      <c r="E38" s="46" t="s">
        <v>178</v>
      </c>
      <c r="F38" s="47">
        <f>4.5+11+12</f>
        <v>27.5</v>
      </c>
      <c r="G38" s="41"/>
      <c r="H38" s="6"/>
    </row>
    <row r="39" spans="1:8" x14ac:dyDescent="0.4">
      <c r="A39" s="44">
        <v>45403</v>
      </c>
      <c r="B39" s="6" t="s">
        <v>31</v>
      </c>
      <c r="C39" s="46" t="s">
        <v>15</v>
      </c>
      <c r="D39" s="46" t="s">
        <v>19</v>
      </c>
      <c r="E39" s="46" t="s">
        <v>179</v>
      </c>
      <c r="F39" s="47">
        <v>24</v>
      </c>
      <c r="G39" s="41"/>
      <c r="H39" s="6"/>
    </row>
    <row r="40" spans="1:8" x14ac:dyDescent="0.4">
      <c r="A40" s="44">
        <v>45404</v>
      </c>
      <c r="B40" s="6" t="s">
        <v>33</v>
      </c>
      <c r="C40" s="46" t="s">
        <v>15</v>
      </c>
      <c r="D40" s="46" t="s">
        <v>19</v>
      </c>
      <c r="E40" s="46" t="s">
        <v>180</v>
      </c>
      <c r="F40" s="47">
        <f>5+10+13</f>
        <v>28</v>
      </c>
      <c r="G40" s="41"/>
      <c r="H40" s="41"/>
    </row>
    <row r="41" spans="1:8" x14ac:dyDescent="0.4">
      <c r="A41" s="44">
        <v>45405</v>
      </c>
      <c r="B41" s="6" t="s">
        <v>20</v>
      </c>
      <c r="C41" s="46" t="s">
        <v>15</v>
      </c>
      <c r="D41" s="46" t="s">
        <v>17</v>
      </c>
      <c r="E41" s="46" t="s">
        <v>183</v>
      </c>
      <c r="F41" s="47">
        <v>9.89</v>
      </c>
      <c r="G41" s="41"/>
      <c r="H41" s="41">
        <f>SUM(F4:F41)</f>
        <v>1127.53</v>
      </c>
    </row>
    <row r="42" spans="1:8" x14ac:dyDescent="0.4">
      <c r="A42" s="44"/>
      <c r="B42" s="6"/>
      <c r="C42" s="46" t="s">
        <v>15</v>
      </c>
      <c r="D42" s="46" t="s">
        <v>19</v>
      </c>
      <c r="E42" s="46" t="s">
        <v>184</v>
      </c>
      <c r="F42" s="47">
        <f>6+9.5+10</f>
        <v>25.5</v>
      </c>
      <c r="G42" s="41"/>
      <c r="H42" s="6"/>
    </row>
    <row r="43" spans="1:8" x14ac:dyDescent="0.4">
      <c r="A43" s="44">
        <v>45406</v>
      </c>
      <c r="B43" s="6" t="s">
        <v>22</v>
      </c>
      <c r="C43" s="46" t="s">
        <v>15</v>
      </c>
      <c r="D43" s="46" t="s">
        <v>19</v>
      </c>
      <c r="E43" s="46" t="s">
        <v>185</v>
      </c>
      <c r="F43" s="47">
        <f>5+15+12</f>
        <v>32</v>
      </c>
      <c r="G43" s="41"/>
      <c r="H43" s="6"/>
    </row>
    <row r="44" spans="1:8" x14ac:dyDescent="0.4">
      <c r="A44" s="44">
        <v>45407</v>
      </c>
      <c r="B44" s="6" t="s">
        <v>23</v>
      </c>
      <c r="C44" s="46" t="s">
        <v>15</v>
      </c>
      <c r="D44" s="46" t="s">
        <v>19</v>
      </c>
      <c r="E44" s="46" t="s">
        <v>186</v>
      </c>
      <c r="F44" s="47">
        <f>4+10+11</f>
        <v>25</v>
      </c>
      <c r="G44" s="41"/>
      <c r="H44" s="6"/>
    </row>
    <row r="45" spans="1:8" x14ac:dyDescent="0.4">
      <c r="A45" s="44"/>
      <c r="B45" s="6"/>
      <c r="C45" s="46" t="s">
        <v>15</v>
      </c>
      <c r="D45" s="46" t="s">
        <v>17</v>
      </c>
      <c r="E45" s="46" t="s">
        <v>80</v>
      </c>
      <c r="F45" s="47">
        <v>2.25</v>
      </c>
      <c r="G45" s="41"/>
      <c r="H45" s="6"/>
    </row>
    <row r="46" spans="1:8" x14ac:dyDescent="0.4">
      <c r="A46" s="44">
        <v>45408</v>
      </c>
      <c r="B46" s="6" t="s">
        <v>24</v>
      </c>
      <c r="C46" s="46" t="s">
        <v>15</v>
      </c>
      <c r="D46" s="46" t="s">
        <v>19</v>
      </c>
      <c r="E46" s="46" t="s">
        <v>187</v>
      </c>
      <c r="F46" s="47">
        <v>16</v>
      </c>
      <c r="G46" s="41"/>
      <c r="H46" s="6"/>
    </row>
    <row r="47" spans="1:8" x14ac:dyDescent="0.4">
      <c r="A47" s="44"/>
      <c r="B47" s="6"/>
      <c r="C47" s="46" t="s">
        <v>15</v>
      </c>
      <c r="D47" s="46" t="s">
        <v>10</v>
      </c>
      <c r="E47" s="46" t="s">
        <v>140</v>
      </c>
      <c r="F47" s="47">
        <v>0.6</v>
      </c>
      <c r="G47" s="41"/>
      <c r="H47" s="6"/>
    </row>
    <row r="48" spans="1:8" x14ac:dyDescent="0.4">
      <c r="A48" s="44"/>
      <c r="B48" s="6"/>
      <c r="C48" s="46" t="s">
        <v>15</v>
      </c>
      <c r="D48" s="46" t="s">
        <v>17</v>
      </c>
      <c r="E48" s="46" t="s">
        <v>188</v>
      </c>
      <c r="F48" s="47">
        <v>71.75</v>
      </c>
      <c r="G48" s="41"/>
      <c r="H48" s="6"/>
    </row>
    <row r="49" spans="1:8" x14ac:dyDescent="0.4">
      <c r="A49" s="44"/>
      <c r="B49" s="6"/>
      <c r="C49" s="46" t="s">
        <v>15</v>
      </c>
      <c r="D49" s="46" t="s">
        <v>17</v>
      </c>
      <c r="E49" s="46" t="s">
        <v>18</v>
      </c>
      <c r="F49" s="47">
        <v>6</v>
      </c>
      <c r="G49" s="41"/>
      <c r="H49" s="6"/>
    </row>
    <row r="50" spans="1:8" x14ac:dyDescent="0.4">
      <c r="A50" s="44">
        <v>45409</v>
      </c>
      <c r="B50" s="6" t="s">
        <v>29</v>
      </c>
      <c r="C50" s="46" t="s">
        <v>15</v>
      </c>
      <c r="D50" s="46" t="s">
        <v>19</v>
      </c>
      <c r="E50" s="46" t="s">
        <v>189</v>
      </c>
      <c r="F50" s="47">
        <f>4.5+3+9+13</f>
        <v>29.5</v>
      </c>
      <c r="G50" s="41"/>
      <c r="H50" s="6"/>
    </row>
    <row r="51" spans="1:8" x14ac:dyDescent="0.4">
      <c r="A51" s="44">
        <v>45410</v>
      </c>
      <c r="B51" s="6" t="s">
        <v>31</v>
      </c>
      <c r="C51" s="46" t="s">
        <v>15</v>
      </c>
      <c r="D51" s="46" t="s">
        <v>19</v>
      </c>
      <c r="E51" s="46" t="s">
        <v>190</v>
      </c>
      <c r="F51" s="47">
        <f>3.5+8.5+12+5</f>
        <v>29</v>
      </c>
      <c r="G51" s="41"/>
      <c r="H51" s="6"/>
    </row>
    <row r="52" spans="1:8" x14ac:dyDescent="0.4">
      <c r="A52" s="44">
        <v>45411</v>
      </c>
      <c r="B52" s="6" t="s">
        <v>33</v>
      </c>
      <c r="C52" s="46" t="s">
        <v>15</v>
      </c>
      <c r="D52" s="46" t="s">
        <v>19</v>
      </c>
      <c r="E52" s="46" t="s">
        <v>191</v>
      </c>
      <c r="F52" s="47">
        <f>5+9+8.5</f>
        <v>22.5</v>
      </c>
      <c r="G52" s="41"/>
      <c r="H52" s="6"/>
    </row>
    <row r="53" spans="1:8" x14ac:dyDescent="0.4">
      <c r="A53" s="44">
        <v>45412</v>
      </c>
      <c r="B53" s="6" t="s">
        <v>20</v>
      </c>
      <c r="C53" s="46" t="s">
        <v>15</v>
      </c>
      <c r="D53" s="46" t="s">
        <v>19</v>
      </c>
      <c r="E53" s="46" t="s">
        <v>192</v>
      </c>
      <c r="F53" s="47">
        <f>3+1.8+10</f>
        <v>14.8</v>
      </c>
      <c r="G53" s="41"/>
      <c r="H53" s="6"/>
    </row>
    <row r="54" spans="1:8" x14ac:dyDescent="0.4">
      <c r="A54" s="44"/>
      <c r="B54" s="6"/>
      <c r="C54" s="46" t="s">
        <v>15</v>
      </c>
      <c r="D54" s="46" t="s">
        <v>17</v>
      </c>
      <c r="E54" s="46" t="s">
        <v>18</v>
      </c>
      <c r="F54" s="47">
        <f>2+8</f>
        <v>10</v>
      </c>
      <c r="G54" s="41"/>
      <c r="H54" s="41">
        <f>SUM(F4:F54)</f>
        <v>1412.4299999999998</v>
      </c>
    </row>
    <row r="55" spans="1:8" x14ac:dyDescent="0.4">
      <c r="A55" s="44"/>
      <c r="B55" s="6"/>
      <c r="C55" s="46"/>
      <c r="D55" s="46"/>
      <c r="E55" s="44"/>
      <c r="F55" s="47"/>
      <c r="G55" s="41"/>
      <c r="H55" s="6"/>
    </row>
    <row r="56" spans="1:8" x14ac:dyDescent="0.4">
      <c r="A56" s="44"/>
      <c r="B56" s="6"/>
      <c r="C56" s="6"/>
      <c r="D56" s="6"/>
      <c r="E56" s="6"/>
      <c r="F56" s="41"/>
      <c r="G56" s="41"/>
      <c r="H56" s="6"/>
    </row>
    <row r="57" spans="1:8" x14ac:dyDescent="0.4">
      <c r="A57" s="44"/>
      <c r="B57" s="6"/>
      <c r="C57" s="6"/>
      <c r="D57" s="6"/>
      <c r="E57" s="6"/>
      <c r="F57" s="41"/>
      <c r="G57" s="41"/>
      <c r="H57" s="6"/>
    </row>
    <row r="58" spans="1:8" x14ac:dyDescent="0.4">
      <c r="A58" s="44"/>
      <c r="B58" s="6"/>
      <c r="C58" s="6"/>
      <c r="D58" s="6"/>
      <c r="E58" s="6"/>
      <c r="F58" s="41"/>
      <c r="G58" s="41"/>
      <c r="H58" s="6"/>
    </row>
    <row r="59" spans="1:8" x14ac:dyDescent="0.4">
      <c r="A59" s="44"/>
      <c r="B59" s="6"/>
      <c r="C59" s="6"/>
      <c r="D59" s="6"/>
      <c r="E59" s="6"/>
      <c r="F59" s="41"/>
      <c r="G59" s="41"/>
      <c r="H59" s="6"/>
    </row>
    <row r="60" spans="1:8" x14ac:dyDescent="0.4">
      <c r="A60" s="44"/>
      <c r="B60" s="6"/>
      <c r="C60" s="6"/>
      <c r="D60" s="6"/>
      <c r="E60" s="6"/>
      <c r="F60" s="41"/>
      <c r="G60" s="41"/>
      <c r="H60" s="6"/>
    </row>
    <row r="61" spans="1:8" x14ac:dyDescent="0.4">
      <c r="A61" s="44"/>
      <c r="B61" s="6"/>
      <c r="C61" s="6"/>
      <c r="D61" s="6"/>
      <c r="E61" s="6"/>
      <c r="F61" s="41"/>
      <c r="G61" s="41"/>
      <c r="H61" s="6"/>
    </row>
    <row r="62" spans="1:8" x14ac:dyDescent="0.4">
      <c r="A62" s="44"/>
      <c r="B62" s="6"/>
      <c r="C62" s="6"/>
      <c r="D62" s="6"/>
      <c r="E62" s="6"/>
      <c r="F62" s="41"/>
      <c r="G62" s="41"/>
      <c r="H62" s="6"/>
    </row>
    <row r="63" spans="1:8" x14ac:dyDescent="0.4">
      <c r="A63" s="44"/>
      <c r="B63" s="6"/>
      <c r="C63" s="6"/>
      <c r="D63" s="6"/>
      <c r="E63" s="6"/>
      <c r="F63" s="41"/>
      <c r="G63" s="41"/>
      <c r="H63" s="6"/>
    </row>
    <row r="64" spans="1:8" x14ac:dyDescent="0.4">
      <c r="A64" s="44"/>
      <c r="B64" s="6"/>
      <c r="C64" s="6"/>
      <c r="D64" s="6"/>
      <c r="E64" s="6"/>
      <c r="F64" s="41"/>
      <c r="G64" s="41"/>
      <c r="H64" s="6"/>
    </row>
    <row r="65" spans="1:8" x14ac:dyDescent="0.4">
      <c r="A65" s="44"/>
      <c r="B65" s="6"/>
      <c r="C65" s="6"/>
      <c r="D65" s="6"/>
      <c r="E65" s="6"/>
      <c r="F65" s="41"/>
      <c r="G65" s="41"/>
      <c r="H65" s="6"/>
    </row>
    <row r="66" spans="1:8" x14ac:dyDescent="0.4">
      <c r="A66" s="44"/>
      <c r="B66" s="6"/>
      <c r="C66" s="6"/>
      <c r="D66" s="6"/>
      <c r="E66" s="6"/>
      <c r="F66" s="41"/>
      <c r="G66" s="41"/>
      <c r="H66" s="6"/>
    </row>
    <row r="67" spans="1:8" x14ac:dyDescent="0.4">
      <c r="A67" s="44"/>
      <c r="B67" s="6"/>
      <c r="C67" s="6"/>
      <c r="D67" s="6"/>
      <c r="E67" s="6"/>
      <c r="F67" s="41"/>
      <c r="G67" s="41"/>
      <c r="H67" s="6"/>
    </row>
    <row r="68" spans="1:8" x14ac:dyDescent="0.4">
      <c r="A68" s="44"/>
      <c r="B68" s="6"/>
      <c r="C68" s="6"/>
      <c r="D68" s="6"/>
      <c r="E68" s="6"/>
      <c r="F68" s="41"/>
      <c r="G68" s="41"/>
      <c r="H68" s="6"/>
    </row>
    <row r="69" spans="1:8" x14ac:dyDescent="0.4">
      <c r="A69" s="44"/>
      <c r="B69" s="6"/>
      <c r="C69" s="6"/>
      <c r="D69" s="6"/>
      <c r="E69" s="6"/>
      <c r="F69" s="41"/>
      <c r="G69" s="41"/>
      <c r="H69" s="6"/>
    </row>
    <row r="70" spans="1:8" x14ac:dyDescent="0.4">
      <c r="A70" s="44"/>
      <c r="B70" s="6"/>
      <c r="C70" s="6"/>
      <c r="D70" s="6"/>
      <c r="E70" s="6"/>
      <c r="F70" s="41"/>
      <c r="G70" s="41"/>
      <c r="H70" s="6"/>
    </row>
    <row r="71" spans="1:8" x14ac:dyDescent="0.4">
      <c r="A71" s="44"/>
      <c r="B71" s="6"/>
      <c r="C71" s="6"/>
      <c r="D71" s="6"/>
      <c r="E71" s="6"/>
      <c r="F71" s="41"/>
      <c r="G71" s="41"/>
      <c r="H71" s="6"/>
    </row>
    <row r="72" spans="1:8" x14ac:dyDescent="0.4">
      <c r="A72" s="44"/>
      <c r="B72" s="6"/>
      <c r="C72" s="6"/>
      <c r="D72" s="6"/>
      <c r="E72" s="6"/>
      <c r="F72" s="41"/>
      <c r="G72" s="41"/>
      <c r="H72" s="6"/>
    </row>
    <row r="73" spans="1:8" x14ac:dyDescent="0.4">
      <c r="A73" s="44"/>
      <c r="B73" s="6"/>
      <c r="C73" s="6"/>
      <c r="D73" s="6"/>
      <c r="E73" s="6"/>
      <c r="F73" s="41"/>
      <c r="G73" s="41"/>
      <c r="H73" s="6"/>
    </row>
    <row r="74" spans="1:8" x14ac:dyDescent="0.4">
      <c r="A74" s="44"/>
      <c r="B74" s="6"/>
      <c r="C74" s="6"/>
      <c r="D74" s="6"/>
      <c r="E74" s="6"/>
      <c r="F74" s="41"/>
      <c r="G74" s="41"/>
      <c r="H74" s="6"/>
    </row>
    <row r="75" spans="1:8" x14ac:dyDescent="0.4">
      <c r="A75" s="44"/>
      <c r="B75" s="6"/>
      <c r="C75" s="6"/>
      <c r="D75" s="6"/>
      <c r="E75" s="6"/>
      <c r="F75" s="41"/>
      <c r="G75" s="41"/>
      <c r="H75" s="6"/>
    </row>
    <row r="76" spans="1:8" x14ac:dyDescent="0.4">
      <c r="A76" s="44"/>
      <c r="B76" s="6"/>
      <c r="C76" s="6"/>
      <c r="D76" s="6"/>
      <c r="E76" s="6"/>
      <c r="F76" s="41"/>
      <c r="G76" s="41"/>
      <c r="H76" s="6"/>
    </row>
    <row r="77" spans="1:8" x14ac:dyDescent="0.4">
      <c r="A77" s="44"/>
      <c r="B77" s="6"/>
      <c r="C77" s="6"/>
      <c r="D77" s="6"/>
      <c r="E77" s="6"/>
      <c r="F77" s="41"/>
      <c r="G77" s="41"/>
      <c r="H77" s="6"/>
    </row>
    <row r="78" spans="1:8" x14ac:dyDescent="0.4">
      <c r="A78" s="44"/>
      <c r="B78" s="6"/>
      <c r="C78" s="6"/>
      <c r="D78" s="6"/>
      <c r="E78" s="6"/>
      <c r="F78" s="41"/>
      <c r="G78" s="41"/>
      <c r="H78" s="6"/>
    </row>
    <row r="79" spans="1:8" x14ac:dyDescent="0.4">
      <c r="A79" s="44"/>
      <c r="B79" s="6"/>
      <c r="C79" s="6"/>
      <c r="D79" s="6"/>
      <c r="E79" s="6"/>
      <c r="F79" s="41"/>
      <c r="G79" s="41"/>
      <c r="H79" s="6"/>
    </row>
  </sheetData>
  <protectedRanges>
    <protectedRange sqref="B4:H78 A4:A51 A53:A78" name="编辑区"/>
  </protectedRanges>
  <mergeCells count="2">
    <mergeCell ref="A1:B2"/>
    <mergeCell ref="C1:H2"/>
  </mergeCells>
  <phoneticPr fontId="1" type="noConversion"/>
  <conditionalFormatting sqref="G12">
    <cfRule type="cellIs" dxfId="1" priority="1" operator="lessThan">
      <formula>0</formula>
    </cfRule>
  </conditionalFormatting>
  <dataValidations count="3">
    <dataValidation type="list" allowBlank="1" showInputMessage="1" showErrorMessage="1" sqref="B4" xr:uid="{1BB0F180-7156-4E4A-AB41-164AFBEAFC7D}">
      <formula1>"MO,TU,WE,TH,FR,SA,SU"</formula1>
    </dataValidation>
    <dataValidation type="list" allowBlank="1" showInputMessage="1" showErrorMessage="1" sqref="C3:C78" xr:uid="{4989893B-9DEC-4F36-8DAB-FC1206A756BA}">
      <formula1>"收,支"</formula1>
    </dataValidation>
    <dataValidation type="list" allowBlank="1" showInputMessage="1" showErrorMessage="1" sqref="D3:D78" xr:uid="{05F11B79-3949-4E7D-8A52-7BBD5970DBDE}">
      <formula1>"饮食,学习,生活,外务,增值,特别立项"</formula1>
    </dataValidation>
  </dataValidations>
  <hyperlinks>
    <hyperlink ref="A1:B2" location="主页!A1" display="返回主页" xr:uid="{282BA670-FFBC-4E3C-BA0E-6D2A5734B4C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E05B-EFA7-48C9-AEBD-9625A5AB5C8C}">
  <sheetPr codeName="Sheet6"/>
  <dimension ref="A1:H76"/>
  <sheetViews>
    <sheetView topLeftCell="A13" zoomScale="70" zoomScaleNormal="70" workbookViewId="0">
      <selection activeCell="K22" sqref="K22"/>
    </sheetView>
  </sheetViews>
  <sheetFormatPr defaultRowHeight="13.9" x14ac:dyDescent="0.4"/>
  <cols>
    <col min="1" max="1" width="15.53125" customWidth="1"/>
    <col min="4" max="4" width="16.1328125" customWidth="1"/>
    <col min="5" max="5" width="65.86328125" customWidth="1"/>
    <col min="7" max="7" width="10.1328125" bestFit="1" customWidth="1"/>
  </cols>
  <sheetData>
    <row r="1" spans="1:8" ht="13.9" customHeight="1" x14ac:dyDescent="0.4">
      <c r="A1" s="78" t="s">
        <v>1</v>
      </c>
      <c r="B1" s="78"/>
      <c r="C1" s="88" t="s">
        <v>196</v>
      </c>
      <c r="D1" s="88"/>
      <c r="E1" s="88"/>
      <c r="F1" s="88"/>
      <c r="G1" s="88"/>
      <c r="H1" s="88"/>
    </row>
    <row r="2" spans="1:8" ht="13.9" customHeight="1" x14ac:dyDescent="0.4">
      <c r="A2" s="78"/>
      <c r="B2" s="78"/>
      <c r="C2" s="88"/>
      <c r="D2" s="88"/>
      <c r="E2" s="88"/>
      <c r="F2" s="88"/>
      <c r="G2" s="88"/>
      <c r="H2" s="88"/>
    </row>
    <row r="3" spans="1:8" x14ac:dyDescent="0.4">
      <c r="A3" s="44" t="s">
        <v>0</v>
      </c>
      <c r="B3" s="6" t="s">
        <v>3</v>
      </c>
      <c r="C3" s="6" t="s">
        <v>5</v>
      </c>
      <c r="D3" s="6" t="s">
        <v>4</v>
      </c>
      <c r="E3" s="6" t="s">
        <v>6</v>
      </c>
      <c r="F3" s="41" t="s">
        <v>7</v>
      </c>
      <c r="G3" s="41" t="s">
        <v>8</v>
      </c>
      <c r="H3" s="6" t="s">
        <v>9</v>
      </c>
    </row>
    <row r="4" spans="1:8" x14ac:dyDescent="0.4">
      <c r="A4" s="44">
        <v>45413</v>
      </c>
      <c r="B4" s="6" t="s">
        <v>197</v>
      </c>
      <c r="C4" s="6" t="s">
        <v>12</v>
      </c>
      <c r="D4" s="6" t="s">
        <v>17</v>
      </c>
      <c r="E4" s="6">
        <v>200</v>
      </c>
      <c r="F4" s="41"/>
      <c r="G4" s="41">
        <v>-200</v>
      </c>
      <c r="H4" s="6"/>
    </row>
    <row r="5" spans="1:8" x14ac:dyDescent="0.4">
      <c r="A5" s="44">
        <v>45417</v>
      </c>
      <c r="B5" s="6" t="s">
        <v>31</v>
      </c>
      <c r="C5" s="6" t="s">
        <v>15</v>
      </c>
      <c r="D5" s="6" t="s">
        <v>17</v>
      </c>
      <c r="E5" s="46" t="s">
        <v>18</v>
      </c>
      <c r="F5" s="41">
        <f>2+8</f>
        <v>10</v>
      </c>
      <c r="G5" s="41"/>
      <c r="H5" s="6"/>
    </row>
    <row r="6" spans="1:8" x14ac:dyDescent="0.4">
      <c r="A6" s="44"/>
      <c r="B6" s="6"/>
      <c r="C6" s="6" t="s">
        <v>15</v>
      </c>
      <c r="D6" s="6" t="s">
        <v>17</v>
      </c>
      <c r="E6" s="46" t="s">
        <v>80</v>
      </c>
      <c r="F6" s="41">
        <v>2.25</v>
      </c>
      <c r="G6" s="41"/>
      <c r="H6" s="6"/>
    </row>
    <row r="7" spans="1:8" x14ac:dyDescent="0.4">
      <c r="A7" s="44">
        <v>45418</v>
      </c>
      <c r="B7" s="6" t="s">
        <v>33</v>
      </c>
      <c r="C7" s="6" t="s">
        <v>15</v>
      </c>
      <c r="D7" s="6" t="s">
        <v>19</v>
      </c>
      <c r="E7" s="46" t="s">
        <v>198</v>
      </c>
      <c r="F7" s="41">
        <f>3+11+13</f>
        <v>27</v>
      </c>
      <c r="G7" s="41"/>
      <c r="H7" s="6"/>
    </row>
    <row r="8" spans="1:8" x14ac:dyDescent="0.4">
      <c r="A8" s="44">
        <v>45419</v>
      </c>
      <c r="B8" s="6" t="s">
        <v>20</v>
      </c>
      <c r="C8" s="6" t="s">
        <v>15</v>
      </c>
      <c r="D8" s="6" t="s">
        <v>19</v>
      </c>
      <c r="E8" s="46" t="s">
        <v>199</v>
      </c>
      <c r="F8" s="41">
        <f>4.5+9+12+5</f>
        <v>30.5</v>
      </c>
      <c r="G8" s="41"/>
      <c r="H8" s="6"/>
    </row>
    <row r="9" spans="1:8" x14ac:dyDescent="0.4">
      <c r="A9" s="44"/>
      <c r="B9" s="6"/>
      <c r="C9" s="6" t="s">
        <v>15</v>
      </c>
      <c r="D9" s="6" t="s">
        <v>10</v>
      </c>
      <c r="E9" s="46" t="s">
        <v>200</v>
      </c>
      <c r="F9" s="41">
        <f>59.2+11.9</f>
        <v>71.100000000000009</v>
      </c>
      <c r="G9" s="41"/>
      <c r="H9" s="6"/>
    </row>
    <row r="10" spans="1:8" x14ac:dyDescent="0.4">
      <c r="A10" s="44">
        <v>45420</v>
      </c>
      <c r="B10" s="6" t="s">
        <v>22</v>
      </c>
      <c r="C10" s="6" t="s">
        <v>15</v>
      </c>
      <c r="D10" s="6" t="s">
        <v>19</v>
      </c>
      <c r="E10" s="46" t="s">
        <v>201</v>
      </c>
      <c r="F10" s="41">
        <f>3+13+15</f>
        <v>31</v>
      </c>
      <c r="G10" s="41"/>
      <c r="H10" s="6"/>
    </row>
    <row r="11" spans="1:8" x14ac:dyDescent="0.4">
      <c r="A11" s="44">
        <v>45421</v>
      </c>
      <c r="B11" s="6" t="s">
        <v>23</v>
      </c>
      <c r="C11" s="46" t="s">
        <v>15</v>
      </c>
      <c r="D11" s="46" t="s">
        <v>19</v>
      </c>
      <c r="E11" s="46" t="s">
        <v>202</v>
      </c>
      <c r="F11" s="47">
        <v>14</v>
      </c>
      <c r="G11" s="41"/>
      <c r="H11" s="6"/>
    </row>
    <row r="12" spans="1:8" x14ac:dyDescent="0.4">
      <c r="A12" s="44"/>
      <c r="B12" s="6"/>
      <c r="C12" s="6" t="s">
        <v>15</v>
      </c>
      <c r="D12" s="6" t="s">
        <v>17</v>
      </c>
      <c r="E12" s="46" t="s">
        <v>203</v>
      </c>
      <c r="F12" s="41">
        <v>7</v>
      </c>
      <c r="G12" s="41"/>
      <c r="H12" s="6"/>
    </row>
    <row r="13" spans="1:8" x14ac:dyDescent="0.4">
      <c r="A13" s="44"/>
      <c r="B13" s="6"/>
      <c r="C13" s="6" t="s">
        <v>15</v>
      </c>
      <c r="D13" s="6" t="s">
        <v>10</v>
      </c>
      <c r="E13" s="46" t="s">
        <v>200</v>
      </c>
      <c r="F13" s="41">
        <v>9.9</v>
      </c>
      <c r="G13" s="41"/>
      <c r="H13" s="6"/>
    </row>
    <row r="14" spans="1:8" x14ac:dyDescent="0.4">
      <c r="A14" s="44">
        <v>45422</v>
      </c>
      <c r="B14" s="6" t="s">
        <v>24</v>
      </c>
      <c r="C14" s="6" t="s">
        <v>15</v>
      </c>
      <c r="D14" s="6" t="s">
        <v>19</v>
      </c>
      <c r="E14" s="46" t="s">
        <v>204</v>
      </c>
      <c r="F14" s="41">
        <f>5+9+10.5</f>
        <v>24.5</v>
      </c>
      <c r="G14" s="41"/>
      <c r="H14" s="6"/>
    </row>
    <row r="15" spans="1:8" x14ac:dyDescent="0.4">
      <c r="A15" s="44"/>
      <c r="B15" s="6"/>
      <c r="C15" s="6" t="s">
        <v>15</v>
      </c>
      <c r="D15" s="6" t="s">
        <v>17</v>
      </c>
      <c r="E15" s="46" t="s">
        <v>155</v>
      </c>
      <c r="F15" s="41">
        <v>40</v>
      </c>
      <c r="G15" s="41"/>
      <c r="H15" s="6"/>
    </row>
    <row r="16" spans="1:8" x14ac:dyDescent="0.4">
      <c r="A16" s="44"/>
      <c r="B16" s="6"/>
      <c r="C16" s="6" t="s">
        <v>15</v>
      </c>
      <c r="D16" s="6" t="s">
        <v>17</v>
      </c>
      <c r="E16" s="46" t="s">
        <v>80</v>
      </c>
      <c r="F16" s="41">
        <v>2.25</v>
      </c>
      <c r="G16" s="41"/>
      <c r="H16" s="6"/>
    </row>
    <row r="17" spans="1:8" x14ac:dyDescent="0.4">
      <c r="A17" s="44"/>
      <c r="B17" s="6"/>
      <c r="C17" s="6" t="s">
        <v>15</v>
      </c>
      <c r="D17" s="6" t="s">
        <v>19</v>
      </c>
      <c r="E17" s="46" t="s">
        <v>205</v>
      </c>
      <c r="F17" s="41">
        <f>2.5+8.5+8.5</f>
        <v>19.5</v>
      </c>
      <c r="G17" s="41"/>
      <c r="H17" s="6"/>
    </row>
    <row r="18" spans="1:8" x14ac:dyDescent="0.4">
      <c r="A18" s="44">
        <v>45424</v>
      </c>
      <c r="B18" s="6" t="s">
        <v>29</v>
      </c>
      <c r="C18" s="6" t="s">
        <v>15</v>
      </c>
      <c r="D18" s="6" t="s">
        <v>19</v>
      </c>
      <c r="E18" s="46" t="s">
        <v>206</v>
      </c>
      <c r="F18" s="41">
        <f>3.5+1.8+10.5+8</f>
        <v>23.8</v>
      </c>
      <c r="G18" s="41"/>
      <c r="H18" s="41"/>
    </row>
    <row r="19" spans="1:8" x14ac:dyDescent="0.4">
      <c r="A19" s="44">
        <v>45425</v>
      </c>
      <c r="B19" s="6" t="s">
        <v>33</v>
      </c>
      <c r="C19" s="46" t="s">
        <v>15</v>
      </c>
      <c r="D19" s="46" t="s">
        <v>19</v>
      </c>
      <c r="E19" s="46" t="s">
        <v>207</v>
      </c>
      <c r="F19" s="47">
        <f>3+13+12+5</f>
        <v>33</v>
      </c>
      <c r="G19" s="41"/>
      <c r="H19" s="41"/>
    </row>
    <row r="20" spans="1:8" x14ac:dyDescent="0.4">
      <c r="A20" s="44"/>
      <c r="B20" s="6"/>
      <c r="C20" s="6" t="s">
        <v>15</v>
      </c>
      <c r="D20" s="6" t="s">
        <v>10</v>
      </c>
      <c r="E20" s="46" t="s">
        <v>140</v>
      </c>
      <c r="F20" s="41">
        <v>0.6</v>
      </c>
      <c r="G20" s="41"/>
      <c r="H20" s="6"/>
    </row>
    <row r="21" spans="1:8" x14ac:dyDescent="0.4">
      <c r="A21" s="44">
        <v>45426</v>
      </c>
      <c r="B21" s="6" t="s">
        <v>20</v>
      </c>
      <c r="C21" s="6" t="s">
        <v>15</v>
      </c>
      <c r="D21" s="6" t="s">
        <v>19</v>
      </c>
      <c r="E21" s="46" t="s">
        <v>208</v>
      </c>
      <c r="F21" s="41">
        <f>3.5+10+10.5</f>
        <v>24</v>
      </c>
      <c r="G21" s="41"/>
      <c r="H21" s="6"/>
    </row>
    <row r="22" spans="1:8" x14ac:dyDescent="0.4">
      <c r="A22" s="44">
        <v>45427</v>
      </c>
      <c r="B22" s="6" t="s">
        <v>22</v>
      </c>
      <c r="C22" s="6" t="s">
        <v>15</v>
      </c>
      <c r="D22" s="6" t="s">
        <v>19</v>
      </c>
      <c r="E22" s="46" t="s">
        <v>209</v>
      </c>
      <c r="F22" s="41">
        <f>4+14.5</f>
        <v>18.5</v>
      </c>
      <c r="G22" s="41"/>
      <c r="H22" s="6"/>
    </row>
    <row r="23" spans="1:8" x14ac:dyDescent="0.4">
      <c r="A23" s="44"/>
      <c r="B23" s="6"/>
      <c r="C23" s="6" t="s">
        <v>15</v>
      </c>
      <c r="D23" s="6" t="s">
        <v>10</v>
      </c>
      <c r="E23" s="46"/>
      <c r="F23" s="41">
        <v>5</v>
      </c>
      <c r="G23" s="41"/>
      <c r="H23" s="6"/>
    </row>
    <row r="24" spans="1:8" x14ac:dyDescent="0.4">
      <c r="A24" s="44"/>
      <c r="B24" s="6"/>
      <c r="C24" s="6" t="s">
        <v>15</v>
      </c>
      <c r="D24" s="6" t="s">
        <v>17</v>
      </c>
      <c r="E24" s="46" t="s">
        <v>80</v>
      </c>
      <c r="F24" s="41">
        <v>2.25</v>
      </c>
      <c r="G24" s="41"/>
      <c r="H24" s="6"/>
    </row>
    <row r="25" spans="1:8" x14ac:dyDescent="0.4">
      <c r="A25" s="44">
        <v>45428</v>
      </c>
      <c r="B25" s="6" t="s">
        <v>23</v>
      </c>
      <c r="C25" s="6" t="s">
        <v>15</v>
      </c>
      <c r="D25" s="6" t="s">
        <v>19</v>
      </c>
      <c r="E25" s="46" t="s">
        <v>210</v>
      </c>
      <c r="F25" s="41">
        <f>4+7.5+10.5</f>
        <v>22</v>
      </c>
      <c r="G25" s="41"/>
      <c r="H25" s="6"/>
    </row>
    <row r="26" spans="1:8" x14ac:dyDescent="0.4">
      <c r="A26" s="44"/>
      <c r="B26" s="6"/>
      <c r="C26" s="6" t="s">
        <v>15</v>
      </c>
      <c r="D26" s="6" t="s">
        <v>17</v>
      </c>
      <c r="E26" s="46" t="s">
        <v>200</v>
      </c>
      <c r="F26" s="41">
        <v>9.1999999999999993</v>
      </c>
      <c r="G26" s="41"/>
      <c r="H26" s="6"/>
    </row>
    <row r="27" spans="1:8" x14ac:dyDescent="0.4">
      <c r="A27" s="44">
        <v>45429</v>
      </c>
      <c r="B27" s="6" t="s">
        <v>24</v>
      </c>
      <c r="C27" s="6" t="s">
        <v>15</v>
      </c>
      <c r="D27" s="6" t="s">
        <v>19</v>
      </c>
      <c r="E27" s="46" t="s">
        <v>211</v>
      </c>
      <c r="F27" s="41">
        <f>3+23.9+11+5</f>
        <v>42.9</v>
      </c>
      <c r="G27" s="41"/>
      <c r="H27" s="6"/>
    </row>
    <row r="28" spans="1:8" x14ac:dyDescent="0.4">
      <c r="A28" s="44">
        <v>45430</v>
      </c>
      <c r="B28" s="6" t="s">
        <v>29</v>
      </c>
      <c r="C28" s="46" t="s">
        <v>15</v>
      </c>
      <c r="D28" s="46" t="s">
        <v>17</v>
      </c>
      <c r="E28" s="46" t="s">
        <v>18</v>
      </c>
      <c r="F28" s="47">
        <f>2+2+2+5+1</f>
        <v>12</v>
      </c>
      <c r="G28" s="41"/>
      <c r="H28" s="6"/>
    </row>
    <row r="29" spans="1:8" x14ac:dyDescent="0.4">
      <c r="A29" s="44"/>
      <c r="B29" s="6"/>
      <c r="C29" s="46" t="s">
        <v>15</v>
      </c>
      <c r="D29" s="46" t="s">
        <v>19</v>
      </c>
      <c r="E29" s="46" t="s">
        <v>212</v>
      </c>
      <c r="F29" s="47">
        <f>6.5+10.5</f>
        <v>17</v>
      </c>
      <c r="G29" s="41"/>
      <c r="H29" s="6"/>
    </row>
    <row r="30" spans="1:8" x14ac:dyDescent="0.4">
      <c r="A30" s="44">
        <v>45431</v>
      </c>
      <c r="B30" s="6" t="s">
        <v>31</v>
      </c>
      <c r="C30" s="46" t="s">
        <v>15</v>
      </c>
      <c r="D30" s="46" t="s">
        <v>17</v>
      </c>
      <c r="E30" s="46" t="s">
        <v>213</v>
      </c>
      <c r="F30" s="47">
        <v>0.5</v>
      </c>
      <c r="G30" s="41"/>
      <c r="H30" s="6"/>
    </row>
    <row r="31" spans="1:8" x14ac:dyDescent="0.4">
      <c r="A31" s="44"/>
      <c r="B31" s="6"/>
      <c r="C31" s="46" t="s">
        <v>15</v>
      </c>
      <c r="D31" s="46" t="s">
        <v>17</v>
      </c>
      <c r="E31" s="46" t="s">
        <v>18</v>
      </c>
      <c r="F31" s="47">
        <f>2+8</f>
        <v>10</v>
      </c>
      <c r="G31" s="41"/>
      <c r="H31" s="6"/>
    </row>
    <row r="32" spans="1:8" x14ac:dyDescent="0.4">
      <c r="A32" s="44">
        <v>45432</v>
      </c>
      <c r="B32" s="6" t="s">
        <v>33</v>
      </c>
      <c r="C32" s="46" t="s">
        <v>15</v>
      </c>
      <c r="D32" s="46" t="s">
        <v>19</v>
      </c>
      <c r="E32" s="46" t="s">
        <v>214</v>
      </c>
      <c r="F32" s="47">
        <f>4+14+11</f>
        <v>29</v>
      </c>
      <c r="G32" s="41"/>
      <c r="H32" s="6"/>
    </row>
    <row r="33" spans="1:8" x14ac:dyDescent="0.4">
      <c r="A33" s="44">
        <v>45433</v>
      </c>
      <c r="B33" s="6" t="s">
        <v>20</v>
      </c>
      <c r="C33" s="46" t="s">
        <v>15</v>
      </c>
      <c r="D33" s="46" t="s">
        <v>19</v>
      </c>
      <c r="E33" s="46" t="s">
        <v>215</v>
      </c>
      <c r="F33" s="47">
        <f>4+11+10.5</f>
        <v>25.5</v>
      </c>
      <c r="G33" s="41"/>
      <c r="H33" s="6"/>
    </row>
    <row r="34" spans="1:8" x14ac:dyDescent="0.4">
      <c r="A34" s="44"/>
      <c r="B34" s="6"/>
      <c r="C34" s="46" t="s">
        <v>15</v>
      </c>
      <c r="D34" s="46" t="s">
        <v>17</v>
      </c>
      <c r="E34" s="46" t="s">
        <v>80</v>
      </c>
      <c r="F34" s="47">
        <v>2.25</v>
      </c>
      <c r="G34" s="41"/>
      <c r="H34" s="6"/>
    </row>
    <row r="35" spans="1:8" x14ac:dyDescent="0.4">
      <c r="A35" s="44">
        <v>45434</v>
      </c>
      <c r="B35" s="6" t="s">
        <v>22</v>
      </c>
      <c r="C35" s="46" t="s">
        <v>15</v>
      </c>
      <c r="D35" s="46" t="s">
        <v>19</v>
      </c>
      <c r="E35" s="46" t="s">
        <v>216</v>
      </c>
      <c r="F35" s="47">
        <f>4+10.5+13</f>
        <v>27.5</v>
      </c>
      <c r="G35" s="41"/>
      <c r="H35" s="6"/>
    </row>
    <row r="36" spans="1:8" x14ac:dyDescent="0.4">
      <c r="A36" s="44">
        <v>45435</v>
      </c>
      <c r="B36" s="6" t="s">
        <v>23</v>
      </c>
      <c r="C36" s="46" t="s">
        <v>15</v>
      </c>
      <c r="D36" s="46" t="s">
        <v>19</v>
      </c>
      <c r="E36" s="46" t="s">
        <v>217</v>
      </c>
      <c r="F36" s="47">
        <f>3+10.5+12.5</f>
        <v>26</v>
      </c>
      <c r="G36" s="47"/>
      <c r="H36" s="6"/>
    </row>
    <row r="37" spans="1:8" x14ac:dyDescent="0.4">
      <c r="A37" s="44"/>
      <c r="B37" s="6"/>
      <c r="C37" s="46" t="s">
        <v>15</v>
      </c>
      <c r="D37" s="46" t="s">
        <v>17</v>
      </c>
      <c r="E37" s="46" t="s">
        <v>218</v>
      </c>
      <c r="F37" s="47">
        <v>6.91</v>
      </c>
      <c r="G37" s="41"/>
      <c r="H37" s="6"/>
    </row>
    <row r="38" spans="1:8" x14ac:dyDescent="0.4">
      <c r="A38" s="44">
        <v>45436</v>
      </c>
      <c r="B38" s="6" t="s">
        <v>24</v>
      </c>
      <c r="C38" s="46" t="s">
        <v>15</v>
      </c>
      <c r="D38" s="46" t="s">
        <v>19</v>
      </c>
      <c r="E38" s="46" t="s">
        <v>219</v>
      </c>
      <c r="F38" s="47">
        <f>1+3.5+11+10+3</f>
        <v>28.5</v>
      </c>
      <c r="G38" s="41"/>
      <c r="H38" s="6"/>
    </row>
    <row r="39" spans="1:8" x14ac:dyDescent="0.4">
      <c r="A39" s="44">
        <v>45437</v>
      </c>
      <c r="B39" s="6" t="s">
        <v>29</v>
      </c>
      <c r="C39" s="46" t="s">
        <v>15</v>
      </c>
      <c r="D39" s="46" t="s">
        <v>19</v>
      </c>
      <c r="E39" s="46" t="s">
        <v>220</v>
      </c>
      <c r="F39" s="47">
        <f>4+12+11</f>
        <v>27</v>
      </c>
      <c r="G39" s="41"/>
      <c r="H39" s="6"/>
    </row>
    <row r="40" spans="1:8" x14ac:dyDescent="0.4">
      <c r="A40" s="44"/>
      <c r="B40" s="6"/>
      <c r="C40" s="46" t="s">
        <v>15</v>
      </c>
      <c r="D40" s="46" t="s">
        <v>17</v>
      </c>
      <c r="E40" s="46" t="s">
        <v>80</v>
      </c>
      <c r="F40" s="47">
        <v>2.25</v>
      </c>
      <c r="G40" s="41"/>
      <c r="H40" s="41"/>
    </row>
    <row r="41" spans="1:8" x14ac:dyDescent="0.4">
      <c r="A41" s="44">
        <v>45438</v>
      </c>
      <c r="B41" s="6" t="s">
        <v>31</v>
      </c>
      <c r="C41" s="46" t="s">
        <v>15</v>
      </c>
      <c r="D41" s="46" t="s">
        <v>19</v>
      </c>
      <c r="E41" s="46" t="s">
        <v>221</v>
      </c>
      <c r="F41" s="47">
        <f>4.5+13</f>
        <v>17.5</v>
      </c>
      <c r="G41" s="41"/>
      <c r="H41" s="41"/>
    </row>
    <row r="42" spans="1:8" x14ac:dyDescent="0.4">
      <c r="A42" s="44">
        <v>45439</v>
      </c>
      <c r="B42" s="6" t="s">
        <v>33</v>
      </c>
      <c r="C42" s="46" t="s">
        <v>15</v>
      </c>
      <c r="D42" s="46" t="s">
        <v>19</v>
      </c>
      <c r="E42" s="46" t="s">
        <v>222</v>
      </c>
      <c r="F42" s="47">
        <f>4.5+11.7+12</f>
        <v>28.2</v>
      </c>
      <c r="G42" s="41"/>
      <c r="H42" s="6"/>
    </row>
    <row r="43" spans="1:8" x14ac:dyDescent="0.4">
      <c r="A43" s="44">
        <v>45440</v>
      </c>
      <c r="B43" s="6" t="s">
        <v>20</v>
      </c>
      <c r="C43" s="46" t="s">
        <v>15</v>
      </c>
      <c r="D43" s="46" t="s">
        <v>19</v>
      </c>
      <c r="E43" s="46" t="s">
        <v>223</v>
      </c>
      <c r="F43" s="47">
        <f>4+12+10.5</f>
        <v>26.5</v>
      </c>
      <c r="G43" s="41"/>
      <c r="H43" s="6"/>
    </row>
    <row r="44" spans="1:8" x14ac:dyDescent="0.4">
      <c r="A44" s="44"/>
      <c r="B44" s="6"/>
      <c r="C44" s="46" t="s">
        <v>15</v>
      </c>
      <c r="D44" s="46" t="s">
        <v>17</v>
      </c>
      <c r="E44" s="46" t="s">
        <v>80</v>
      </c>
      <c r="F44" s="47">
        <v>2.25</v>
      </c>
      <c r="G44" s="41"/>
      <c r="H44" s="6"/>
    </row>
    <row r="45" spans="1:8" x14ac:dyDescent="0.4">
      <c r="A45" s="44">
        <v>45441</v>
      </c>
      <c r="B45" s="6" t="s">
        <v>22</v>
      </c>
      <c r="C45" s="46" t="s">
        <v>15</v>
      </c>
      <c r="D45" s="46" t="s">
        <v>19</v>
      </c>
      <c r="E45" s="46" t="s">
        <v>224</v>
      </c>
      <c r="F45" s="47">
        <f>4.5+14+13+12</f>
        <v>43.5</v>
      </c>
      <c r="G45" s="41"/>
      <c r="H45" s="6"/>
    </row>
    <row r="46" spans="1:8" x14ac:dyDescent="0.4">
      <c r="A46" s="44"/>
      <c r="B46" s="6"/>
      <c r="C46" s="46" t="s">
        <v>15</v>
      </c>
      <c r="D46" s="46" t="s">
        <v>10</v>
      </c>
      <c r="E46" s="46" t="s">
        <v>159</v>
      </c>
      <c r="F46" s="47">
        <v>3</v>
      </c>
      <c r="G46" s="41"/>
      <c r="H46" s="6"/>
    </row>
    <row r="47" spans="1:8" x14ac:dyDescent="0.4">
      <c r="A47" s="44">
        <v>45442</v>
      </c>
      <c r="B47" s="6" t="s">
        <v>23</v>
      </c>
      <c r="C47" s="46" t="s">
        <v>15</v>
      </c>
      <c r="D47" s="46" t="s">
        <v>19</v>
      </c>
      <c r="E47" s="46" t="s">
        <v>36</v>
      </c>
      <c r="F47" s="47">
        <f>3+14+12</f>
        <v>29</v>
      </c>
      <c r="G47" s="41"/>
      <c r="H47" s="6"/>
    </row>
    <row r="48" spans="1:8" x14ac:dyDescent="0.4">
      <c r="A48" s="44">
        <v>45443</v>
      </c>
      <c r="B48" s="6" t="s">
        <v>24</v>
      </c>
      <c r="C48" s="46" t="s">
        <v>15</v>
      </c>
      <c r="D48" s="46" t="s">
        <v>19</v>
      </c>
      <c r="E48" s="46" t="s">
        <v>225</v>
      </c>
      <c r="F48" s="47">
        <f>5+13</f>
        <v>18</v>
      </c>
      <c r="G48" s="41"/>
      <c r="H48" s="6"/>
    </row>
    <row r="49" spans="1:8" x14ac:dyDescent="0.4">
      <c r="A49" s="44"/>
      <c r="B49" s="6"/>
      <c r="C49" s="46" t="s">
        <v>15</v>
      </c>
      <c r="D49" s="46" t="s">
        <v>17</v>
      </c>
      <c r="E49" s="46" t="s">
        <v>18</v>
      </c>
      <c r="F49" s="47">
        <v>8</v>
      </c>
      <c r="G49" s="41"/>
      <c r="H49" s="6"/>
    </row>
    <row r="50" spans="1:8" x14ac:dyDescent="0.4">
      <c r="A50" s="44"/>
      <c r="B50" s="6"/>
      <c r="C50" s="46" t="s">
        <v>15</v>
      </c>
      <c r="D50" s="46" t="s">
        <v>17</v>
      </c>
      <c r="E50" s="46" t="s">
        <v>226</v>
      </c>
      <c r="F50" s="47">
        <f>6.66-5.38</f>
        <v>1.2800000000000002</v>
      </c>
      <c r="G50" s="41"/>
      <c r="H50" s="6"/>
    </row>
    <row r="51" spans="1:8" x14ac:dyDescent="0.4">
      <c r="A51" s="44"/>
      <c r="B51" s="6"/>
      <c r="C51" s="46" t="s">
        <v>15</v>
      </c>
      <c r="D51" s="46" t="s">
        <v>44</v>
      </c>
      <c r="E51" s="46" t="s">
        <v>72</v>
      </c>
      <c r="F51" s="47">
        <v>372.07</v>
      </c>
      <c r="G51" s="41">
        <f>SUM(F5:F51)</f>
        <v>1233.96</v>
      </c>
    </row>
    <row r="52" spans="1:8" x14ac:dyDescent="0.4">
      <c r="A52" s="44"/>
      <c r="B52" s="6"/>
      <c r="C52" s="46"/>
      <c r="D52" s="46"/>
      <c r="E52" s="46"/>
      <c r="F52" s="47"/>
      <c r="G52" s="41"/>
      <c r="H52" s="6"/>
    </row>
    <row r="53" spans="1:8" x14ac:dyDescent="0.4">
      <c r="A53" s="44"/>
      <c r="B53" s="6"/>
      <c r="C53" s="46"/>
      <c r="D53" s="46"/>
      <c r="E53" s="46"/>
      <c r="F53" s="47"/>
      <c r="G53" s="41"/>
      <c r="H53" s="6"/>
    </row>
    <row r="54" spans="1:8" x14ac:dyDescent="0.4">
      <c r="A54" s="44"/>
      <c r="B54" s="6"/>
      <c r="C54" s="46"/>
      <c r="D54" s="46"/>
      <c r="E54" s="46"/>
      <c r="F54" s="47"/>
      <c r="G54" s="41"/>
      <c r="H54" s="41"/>
    </row>
    <row r="55" spans="1:8" x14ac:dyDescent="0.4">
      <c r="A55" s="44"/>
      <c r="B55" s="6"/>
      <c r="C55" s="46"/>
      <c r="D55" s="46"/>
      <c r="E55" s="44"/>
      <c r="F55" s="47"/>
      <c r="G55" s="41"/>
      <c r="H55" s="6"/>
    </row>
    <row r="56" spans="1:8" x14ac:dyDescent="0.4">
      <c r="A56" s="44"/>
      <c r="B56" s="6"/>
      <c r="C56" s="6"/>
      <c r="D56" s="6"/>
      <c r="E56" s="6"/>
      <c r="F56" s="41"/>
      <c r="G56" s="41"/>
      <c r="H56" s="6"/>
    </row>
    <row r="57" spans="1:8" x14ac:dyDescent="0.4">
      <c r="A57" s="44"/>
      <c r="B57" s="6"/>
      <c r="C57" s="6"/>
      <c r="D57" s="6"/>
      <c r="E57" s="6"/>
      <c r="F57" s="41"/>
      <c r="G57" s="41"/>
      <c r="H57" s="6"/>
    </row>
    <row r="58" spans="1:8" x14ac:dyDescent="0.4">
      <c r="A58" s="44"/>
      <c r="B58" s="6"/>
      <c r="C58" s="6"/>
      <c r="D58" s="6"/>
      <c r="E58" s="6"/>
      <c r="F58" s="41"/>
      <c r="G58" s="41"/>
      <c r="H58" s="6"/>
    </row>
    <row r="59" spans="1:8" x14ac:dyDescent="0.4">
      <c r="A59" s="44"/>
      <c r="B59" s="6"/>
      <c r="C59" s="6"/>
      <c r="D59" s="6"/>
      <c r="E59" s="6"/>
      <c r="F59" s="41"/>
      <c r="G59" s="41"/>
      <c r="H59" s="6"/>
    </row>
    <row r="60" spans="1:8" x14ac:dyDescent="0.4">
      <c r="A60" s="44"/>
      <c r="B60" s="6"/>
      <c r="C60" s="6"/>
      <c r="D60" s="6"/>
      <c r="E60" s="6"/>
      <c r="F60" s="41"/>
      <c r="G60" s="41"/>
      <c r="H60" s="6"/>
    </row>
    <row r="61" spans="1:8" x14ac:dyDescent="0.4">
      <c r="A61" s="44"/>
      <c r="B61" s="6"/>
      <c r="C61" s="6"/>
      <c r="D61" s="6"/>
      <c r="E61" s="6"/>
      <c r="F61" s="41"/>
      <c r="G61" s="41"/>
      <c r="H61" s="6"/>
    </row>
    <row r="62" spans="1:8" x14ac:dyDescent="0.4">
      <c r="A62" s="44"/>
      <c r="B62" s="6"/>
      <c r="C62" s="6"/>
      <c r="D62" s="6"/>
      <c r="E62" s="6"/>
      <c r="F62" s="41"/>
      <c r="G62" s="41"/>
      <c r="H62" s="6"/>
    </row>
    <row r="63" spans="1:8" x14ac:dyDescent="0.4">
      <c r="A63" s="44"/>
      <c r="B63" s="6"/>
      <c r="C63" s="6"/>
      <c r="D63" s="6"/>
      <c r="E63" s="6"/>
      <c r="F63" s="41"/>
      <c r="G63" s="41"/>
      <c r="H63" s="6"/>
    </row>
    <row r="64" spans="1:8" x14ac:dyDescent="0.4">
      <c r="A64" s="44"/>
      <c r="B64" s="6"/>
      <c r="C64" s="6"/>
      <c r="D64" s="6"/>
      <c r="E64" s="6"/>
      <c r="F64" s="41"/>
      <c r="G64" s="41"/>
      <c r="H64" s="6"/>
    </row>
    <row r="65" spans="1:8" x14ac:dyDescent="0.4">
      <c r="A65" s="78"/>
      <c r="B65" s="78"/>
      <c r="C65" s="86"/>
      <c r="D65" s="87"/>
      <c r="E65" s="87"/>
      <c r="F65" s="87"/>
      <c r="G65" s="87"/>
      <c r="H65" s="87"/>
    </row>
    <row r="66" spans="1:8" x14ac:dyDescent="0.4">
      <c r="A66" s="78"/>
      <c r="B66" s="78"/>
      <c r="C66" s="87"/>
      <c r="D66" s="87"/>
      <c r="E66" s="87"/>
      <c r="F66" s="87"/>
      <c r="G66" s="87"/>
      <c r="H66" s="87"/>
    </row>
    <row r="67" spans="1:8" x14ac:dyDescent="0.4">
      <c r="A67" s="44"/>
      <c r="B67" s="6"/>
      <c r="C67" s="6"/>
      <c r="D67" s="6"/>
      <c r="E67" s="6"/>
      <c r="F67" s="41"/>
      <c r="G67" s="41"/>
      <c r="H67" s="6"/>
    </row>
    <row r="68" spans="1:8" x14ac:dyDescent="0.4">
      <c r="A68" s="44"/>
      <c r="B68" s="6"/>
      <c r="C68" s="6"/>
      <c r="D68" s="6"/>
      <c r="E68" s="6"/>
      <c r="F68" s="41"/>
      <c r="G68" s="41"/>
      <c r="H68" s="6"/>
    </row>
    <row r="69" spans="1:8" x14ac:dyDescent="0.4">
      <c r="A69" s="44"/>
      <c r="B69" s="6"/>
      <c r="C69" s="6"/>
      <c r="D69" s="6"/>
      <c r="E69" s="6"/>
      <c r="F69" s="41"/>
      <c r="G69" s="41"/>
      <c r="H69" s="6"/>
    </row>
    <row r="70" spans="1:8" x14ac:dyDescent="0.4">
      <c r="A70" s="44"/>
      <c r="B70" s="6"/>
      <c r="C70" s="6"/>
      <c r="D70" s="6"/>
      <c r="E70" s="6"/>
      <c r="F70" s="41"/>
      <c r="G70" s="41"/>
      <c r="H70" s="6"/>
    </row>
    <row r="71" spans="1:8" x14ac:dyDescent="0.4">
      <c r="A71" s="44"/>
      <c r="B71" s="6"/>
      <c r="C71" s="6"/>
      <c r="D71" s="6"/>
      <c r="E71" s="6"/>
      <c r="F71" s="41"/>
      <c r="G71" s="41"/>
      <c r="H71" s="6"/>
    </row>
    <row r="72" spans="1:8" x14ac:dyDescent="0.4">
      <c r="A72" s="44"/>
      <c r="B72" s="6"/>
      <c r="C72" s="6"/>
      <c r="D72" s="6"/>
      <c r="E72" s="6"/>
      <c r="F72" s="41"/>
      <c r="G72" s="41"/>
      <c r="H72" s="6"/>
    </row>
    <row r="73" spans="1:8" x14ac:dyDescent="0.4">
      <c r="A73" s="44"/>
      <c r="B73" s="6"/>
      <c r="C73" s="6"/>
      <c r="D73" s="6"/>
      <c r="E73" s="6"/>
      <c r="F73" s="41"/>
      <c r="G73" s="41"/>
      <c r="H73" s="6"/>
    </row>
    <row r="74" spans="1:8" x14ac:dyDescent="0.4">
      <c r="A74" s="44"/>
      <c r="B74" s="6"/>
      <c r="C74" s="6"/>
      <c r="D74" s="6"/>
      <c r="E74" s="6"/>
      <c r="F74" s="41"/>
      <c r="G74" s="41"/>
      <c r="H74" s="6"/>
    </row>
    <row r="75" spans="1:8" x14ac:dyDescent="0.4">
      <c r="A75" s="44"/>
      <c r="B75" s="6"/>
      <c r="C75" s="46"/>
      <c r="D75" s="46"/>
      <c r="E75" s="46"/>
      <c r="F75" s="47"/>
      <c r="G75" s="41"/>
      <c r="H75" s="6"/>
    </row>
    <row r="76" spans="1:8" x14ac:dyDescent="0.4">
      <c r="A76" s="44"/>
      <c r="B76" s="6"/>
      <c r="C76" s="6"/>
      <c r="D76" s="6"/>
      <c r="E76" s="6"/>
      <c r="F76" s="41"/>
      <c r="G76" s="41"/>
      <c r="H76" s="6"/>
    </row>
  </sheetData>
  <protectedRanges>
    <protectedRange sqref="G51 A4:F76 G4:H50 G52:H76" name="编辑区"/>
  </protectedRanges>
  <mergeCells count="4">
    <mergeCell ref="A1:B2"/>
    <mergeCell ref="C1:H2"/>
    <mergeCell ref="A65:B66"/>
    <mergeCell ref="C65:H66"/>
  </mergeCells>
  <phoneticPr fontId="1" type="noConversion"/>
  <conditionalFormatting sqref="G12 G76">
    <cfRule type="cellIs" dxfId="0" priority="1" operator="lessThan">
      <formula>0</formula>
    </cfRule>
  </conditionalFormatting>
  <dataValidations count="3">
    <dataValidation type="list" allowBlank="1" showInputMessage="1" showErrorMessage="1" sqref="D3:D76" xr:uid="{06BE9B7D-B4B6-460E-88A0-3EC178F1A6B8}">
      <formula1>"饮食,学习,生活,外务,增值,特别立项"</formula1>
    </dataValidation>
    <dataValidation type="list" allowBlank="1" showInputMessage="1" showErrorMessage="1" sqref="C3:C76" xr:uid="{A18CE6FB-5D62-42D2-A3FA-7F6442071D5B}">
      <formula1>"收,支"</formula1>
    </dataValidation>
    <dataValidation type="list" allowBlank="1" showInputMessage="1" showErrorMessage="1" sqref="B4" xr:uid="{ADD18A0C-74D8-4C39-BCBE-CE16E5BA5A76}">
      <formula1>"MO,TU,WE,TH,FR,SA,SU"</formula1>
    </dataValidation>
  </dataValidations>
  <hyperlinks>
    <hyperlink ref="A1:B2" location="主页!A1" display="返回主页" xr:uid="{574BF137-3227-414C-A40B-35C17ADDD0BB}"/>
    <hyperlink ref="C1:H2" location="Sheet48最后数!A1" display="2023年五月财报" xr:uid="{E74F632D-75BD-4E99-BEE0-97BD90C3267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D54D-845C-406A-80FB-748A810AA269}">
  <sheetPr codeName="Sheet7"/>
  <dimension ref="A1:H76"/>
  <sheetViews>
    <sheetView workbookViewId="0">
      <selection sqref="A1:B2"/>
    </sheetView>
  </sheetViews>
  <sheetFormatPr defaultRowHeight="13.9" x14ac:dyDescent="0.4"/>
  <cols>
    <col min="1" max="1" width="9.53125" bestFit="1" customWidth="1"/>
    <col min="5" max="5" width="54.59765625" customWidth="1"/>
    <col min="6" max="6" width="9.06640625" style="42"/>
    <col min="7" max="7" width="9.3984375" bestFit="1" customWidth="1"/>
    <col min="8" max="8" width="9.1328125" customWidth="1"/>
  </cols>
  <sheetData>
    <row r="1" spans="1:8" x14ac:dyDescent="0.4">
      <c r="A1" s="78" t="s">
        <v>1</v>
      </c>
      <c r="B1" s="78"/>
      <c r="C1" s="89" t="s">
        <v>227</v>
      </c>
      <c r="D1" s="90"/>
      <c r="E1" s="90"/>
      <c r="F1" s="90"/>
      <c r="G1" s="90"/>
      <c r="H1" s="91"/>
    </row>
    <row r="2" spans="1:8" x14ac:dyDescent="0.4">
      <c r="A2" s="78"/>
      <c r="B2" s="78"/>
      <c r="C2" s="92"/>
      <c r="D2" s="93"/>
      <c r="E2" s="93"/>
      <c r="F2" s="93"/>
      <c r="G2" s="93"/>
      <c r="H2" s="94"/>
    </row>
    <row r="3" spans="1:8" x14ac:dyDescent="0.4">
      <c r="A3" s="5" t="s">
        <v>0</v>
      </c>
      <c r="B3" s="6" t="s">
        <v>3</v>
      </c>
      <c r="C3" s="6" t="s">
        <v>5</v>
      </c>
      <c r="D3" s="6" t="s">
        <v>4</v>
      </c>
      <c r="E3" s="6" t="s">
        <v>6</v>
      </c>
      <c r="F3" s="41" t="s">
        <v>7</v>
      </c>
      <c r="G3" s="6" t="s">
        <v>8</v>
      </c>
      <c r="H3" s="6" t="s">
        <v>9</v>
      </c>
    </row>
    <row r="4" spans="1:8" x14ac:dyDescent="0.4">
      <c r="A4" s="5">
        <v>45444</v>
      </c>
      <c r="B4" s="6" t="s">
        <v>229</v>
      </c>
      <c r="C4" s="6" t="s">
        <v>15</v>
      </c>
      <c r="D4" s="6" t="s">
        <v>10</v>
      </c>
      <c r="E4" s="6" t="s">
        <v>230</v>
      </c>
      <c r="F4" s="41">
        <v>0.6</v>
      </c>
      <c r="G4" s="6"/>
      <c r="H4" s="6"/>
    </row>
    <row r="5" spans="1:8" x14ac:dyDescent="0.4">
      <c r="A5" s="5">
        <v>45445</v>
      </c>
      <c r="B5" s="6" t="s">
        <v>31</v>
      </c>
      <c r="C5" s="6" t="s">
        <v>15</v>
      </c>
      <c r="D5" s="6" t="s">
        <v>17</v>
      </c>
      <c r="E5" s="6" t="s">
        <v>18</v>
      </c>
      <c r="F5" s="41">
        <v>8</v>
      </c>
      <c r="G5" s="6"/>
      <c r="H5" s="6"/>
    </row>
    <row r="6" spans="1:8" x14ac:dyDescent="0.4">
      <c r="A6" s="5"/>
      <c r="B6" s="6"/>
      <c r="C6" s="6" t="s">
        <v>15</v>
      </c>
      <c r="D6" s="6" t="s">
        <v>17</v>
      </c>
      <c r="E6" s="6" t="s">
        <v>232</v>
      </c>
      <c r="F6" s="41">
        <v>0.99</v>
      </c>
      <c r="G6" s="6"/>
      <c r="H6" s="6"/>
    </row>
    <row r="7" spans="1:8" x14ac:dyDescent="0.4">
      <c r="A7" s="5">
        <v>45446</v>
      </c>
      <c r="B7" s="6" t="s">
        <v>33</v>
      </c>
      <c r="C7" s="6" t="s">
        <v>15</v>
      </c>
      <c r="D7" s="6" t="s">
        <v>19</v>
      </c>
      <c r="E7" s="6" t="s">
        <v>233</v>
      </c>
      <c r="F7" s="41">
        <f>4+11+10</f>
        <v>25</v>
      </c>
      <c r="G7" s="6"/>
      <c r="H7" s="6"/>
    </row>
    <row r="8" spans="1:8" x14ac:dyDescent="0.4">
      <c r="A8" s="5">
        <v>45447</v>
      </c>
      <c r="B8" s="6" t="s">
        <v>20</v>
      </c>
      <c r="C8" s="6" t="s">
        <v>15</v>
      </c>
      <c r="D8" s="6" t="s">
        <v>19</v>
      </c>
      <c r="E8" s="6" t="s">
        <v>234</v>
      </c>
      <c r="F8" s="41">
        <f>4+11.7+12</f>
        <v>27.7</v>
      </c>
      <c r="G8" s="6"/>
      <c r="H8" s="6"/>
    </row>
    <row r="9" spans="1:8" x14ac:dyDescent="0.4">
      <c r="A9" s="5"/>
      <c r="B9" s="6"/>
      <c r="C9" s="6" t="s">
        <v>15</v>
      </c>
      <c r="D9" s="6" t="s">
        <v>10</v>
      </c>
      <c r="E9" s="6" t="s">
        <v>235</v>
      </c>
      <c r="F9" s="41">
        <v>8</v>
      </c>
      <c r="G9" s="6"/>
      <c r="H9" s="6"/>
    </row>
    <row r="10" spans="1:8" x14ac:dyDescent="0.4">
      <c r="A10" s="5">
        <v>45448</v>
      </c>
      <c r="B10" s="6" t="s">
        <v>22</v>
      </c>
      <c r="C10" s="6" t="s">
        <v>15</v>
      </c>
      <c r="D10" s="6" t="s">
        <v>19</v>
      </c>
      <c r="E10" s="6" t="s">
        <v>236</v>
      </c>
      <c r="F10" s="41">
        <f>4+14+70</f>
        <v>88</v>
      </c>
      <c r="G10" s="6"/>
      <c r="H10" s="6"/>
    </row>
    <row r="11" spans="1:8" x14ac:dyDescent="0.4">
      <c r="A11" s="5"/>
      <c r="B11" s="6"/>
      <c r="C11" s="6" t="s">
        <v>12</v>
      </c>
      <c r="D11" s="6" t="s">
        <v>17</v>
      </c>
      <c r="E11" s="6" t="s">
        <v>237</v>
      </c>
      <c r="G11" s="41">
        <f>-(15.75+15.75+15.75+30)</f>
        <v>-77.25</v>
      </c>
      <c r="H11" s="6"/>
    </row>
    <row r="12" spans="1:8" x14ac:dyDescent="0.4">
      <c r="A12" s="5">
        <v>45449</v>
      </c>
      <c r="B12" s="6" t="s">
        <v>23</v>
      </c>
      <c r="C12" s="6" t="s">
        <v>15</v>
      </c>
      <c r="D12" s="6" t="s">
        <v>19</v>
      </c>
      <c r="E12" s="6" t="s">
        <v>238</v>
      </c>
      <c r="F12" s="41">
        <f>9+5+12</f>
        <v>26</v>
      </c>
      <c r="G12" s="6"/>
      <c r="H12" s="6"/>
    </row>
    <row r="13" spans="1:8" x14ac:dyDescent="0.4">
      <c r="A13" s="5"/>
      <c r="B13" s="6"/>
      <c r="C13" s="6" t="s">
        <v>15</v>
      </c>
      <c r="D13" s="6" t="s">
        <v>17</v>
      </c>
      <c r="E13" s="6" t="s">
        <v>80</v>
      </c>
      <c r="F13" s="41">
        <v>2.25</v>
      </c>
      <c r="G13" s="6"/>
      <c r="H13" s="6"/>
    </row>
    <row r="14" spans="1:8" x14ac:dyDescent="0.4">
      <c r="A14" s="5">
        <v>45450</v>
      </c>
      <c r="B14" s="6" t="s">
        <v>24</v>
      </c>
      <c r="C14" s="6" t="s">
        <v>15</v>
      </c>
      <c r="D14" s="6" t="s">
        <v>19</v>
      </c>
      <c r="E14" s="6" t="s">
        <v>239</v>
      </c>
      <c r="F14" s="41">
        <f>8.5+8</f>
        <v>16.5</v>
      </c>
      <c r="G14" s="6"/>
      <c r="H14" s="6"/>
    </row>
    <row r="15" spans="1:8" x14ac:dyDescent="0.4">
      <c r="A15" s="5"/>
      <c r="B15" s="6"/>
      <c r="C15" s="6" t="s">
        <v>15</v>
      </c>
      <c r="D15" s="6" t="s">
        <v>17</v>
      </c>
      <c r="E15" s="6" t="s">
        <v>240</v>
      </c>
      <c r="F15" s="41">
        <v>40</v>
      </c>
      <c r="G15" s="6"/>
      <c r="H15" s="6"/>
    </row>
    <row r="16" spans="1:8" x14ac:dyDescent="0.4">
      <c r="A16" s="5"/>
      <c r="B16" s="6"/>
      <c r="C16" s="6" t="s">
        <v>15</v>
      </c>
      <c r="D16" s="6" t="s">
        <v>17</v>
      </c>
      <c r="E16" s="6" t="s">
        <v>18</v>
      </c>
      <c r="F16" s="41">
        <v>8</v>
      </c>
      <c r="G16" s="6"/>
      <c r="H16" s="6"/>
    </row>
    <row r="17" spans="1:8" x14ac:dyDescent="0.4">
      <c r="A17" s="5">
        <v>45451</v>
      </c>
      <c r="B17" s="6" t="s">
        <v>29</v>
      </c>
      <c r="C17" s="6" t="s">
        <v>15</v>
      </c>
      <c r="D17" s="6" t="s">
        <v>17</v>
      </c>
      <c r="E17" s="6" t="s">
        <v>18</v>
      </c>
      <c r="F17" s="41">
        <f>5+5</f>
        <v>10</v>
      </c>
      <c r="G17" s="6"/>
      <c r="H17" s="6"/>
    </row>
    <row r="18" spans="1:8" x14ac:dyDescent="0.4">
      <c r="A18" s="5">
        <v>45452</v>
      </c>
      <c r="B18" s="6" t="s">
        <v>31</v>
      </c>
      <c r="C18" s="6" t="s">
        <v>15</v>
      </c>
      <c r="D18" s="6" t="s">
        <v>10</v>
      </c>
      <c r="E18" s="6" t="s">
        <v>230</v>
      </c>
      <c r="F18" s="41">
        <v>0.3</v>
      </c>
      <c r="G18" s="6"/>
      <c r="H18" s="6"/>
    </row>
    <row r="19" spans="1:8" x14ac:dyDescent="0.4">
      <c r="A19" s="5">
        <v>45453</v>
      </c>
      <c r="B19" s="6" t="s">
        <v>33</v>
      </c>
      <c r="C19" s="6" t="s">
        <v>15</v>
      </c>
      <c r="D19" s="6" t="s">
        <v>17</v>
      </c>
      <c r="E19" s="6" t="s">
        <v>18</v>
      </c>
      <c r="F19" s="41">
        <v>8</v>
      </c>
      <c r="G19" s="6"/>
      <c r="H19" s="6"/>
    </row>
    <row r="20" spans="1:8" x14ac:dyDescent="0.4">
      <c r="A20" s="5"/>
      <c r="B20" s="6"/>
      <c r="C20" s="6" t="s">
        <v>15</v>
      </c>
      <c r="D20" s="6" t="s">
        <v>19</v>
      </c>
      <c r="E20" s="6">
        <v>5</v>
      </c>
      <c r="F20" s="41">
        <v>5</v>
      </c>
      <c r="G20" s="6"/>
      <c r="H20" s="6"/>
    </row>
    <row r="21" spans="1:8" x14ac:dyDescent="0.4">
      <c r="A21" s="5">
        <v>45454</v>
      </c>
      <c r="B21" s="6" t="s">
        <v>20</v>
      </c>
      <c r="C21" s="6" t="s">
        <v>15</v>
      </c>
      <c r="D21" s="6" t="s">
        <v>19</v>
      </c>
      <c r="E21" s="6" t="s">
        <v>241</v>
      </c>
      <c r="F21" s="41">
        <f>3+13+22.5+10.5</f>
        <v>49</v>
      </c>
      <c r="G21" s="6"/>
      <c r="H21" s="6"/>
    </row>
    <row r="22" spans="1:8" x14ac:dyDescent="0.4">
      <c r="A22" s="5"/>
      <c r="B22" s="6"/>
      <c r="C22" s="6" t="s">
        <v>15</v>
      </c>
      <c r="D22" s="6" t="s">
        <v>10</v>
      </c>
      <c r="E22" s="6" t="s">
        <v>230</v>
      </c>
      <c r="F22" s="41">
        <v>0.4</v>
      </c>
      <c r="G22" s="6"/>
      <c r="H22" s="6"/>
    </row>
    <row r="23" spans="1:8" x14ac:dyDescent="0.4">
      <c r="A23" s="5">
        <v>45455</v>
      </c>
      <c r="B23" s="6" t="s">
        <v>22</v>
      </c>
      <c r="C23" s="6" t="s">
        <v>15</v>
      </c>
      <c r="D23" s="6" t="s">
        <v>19</v>
      </c>
      <c r="E23" s="6" t="s">
        <v>166</v>
      </c>
      <c r="F23" s="41">
        <f>4.5+10+12</f>
        <v>26.5</v>
      </c>
      <c r="G23" s="6"/>
      <c r="H23" s="6"/>
    </row>
    <row r="24" spans="1:8" x14ac:dyDescent="0.4">
      <c r="A24" s="5"/>
      <c r="B24" s="6"/>
      <c r="C24" s="6" t="s">
        <v>15</v>
      </c>
      <c r="D24" s="6" t="s">
        <v>10</v>
      </c>
      <c r="E24" s="6" t="s">
        <v>230</v>
      </c>
      <c r="F24" s="41">
        <v>0.2</v>
      </c>
      <c r="G24" s="6"/>
      <c r="H24" s="6"/>
    </row>
    <row r="25" spans="1:8" x14ac:dyDescent="0.4">
      <c r="A25" s="5">
        <v>45456</v>
      </c>
      <c r="B25" s="6" t="s">
        <v>23</v>
      </c>
      <c r="C25" s="6" t="s">
        <v>15</v>
      </c>
      <c r="D25" s="6" t="s">
        <v>19</v>
      </c>
      <c r="E25" s="6" t="s">
        <v>242</v>
      </c>
      <c r="F25" s="41">
        <f>4+12+14+0.5</f>
        <v>30.5</v>
      </c>
      <c r="G25" s="6"/>
      <c r="H25" s="6"/>
    </row>
    <row r="26" spans="1:8" x14ac:dyDescent="0.4">
      <c r="A26" s="5">
        <v>45457</v>
      </c>
      <c r="B26" s="6" t="s">
        <v>24</v>
      </c>
      <c r="C26" s="6" t="s">
        <v>15</v>
      </c>
      <c r="D26" s="6" t="s">
        <v>19</v>
      </c>
      <c r="E26" s="6" t="s">
        <v>243</v>
      </c>
      <c r="F26" s="41">
        <f>3+10+10.5</f>
        <v>23.5</v>
      </c>
      <c r="G26" s="6"/>
      <c r="H26" s="6"/>
    </row>
    <row r="27" spans="1:8" x14ac:dyDescent="0.4">
      <c r="A27" s="5">
        <v>45458</v>
      </c>
      <c r="B27" s="6" t="s">
        <v>29</v>
      </c>
      <c r="C27" s="6" t="s">
        <v>15</v>
      </c>
      <c r="D27" s="6" t="s">
        <v>19</v>
      </c>
      <c r="E27" s="6" t="s">
        <v>244</v>
      </c>
      <c r="F27" s="41">
        <f>6+15+11</f>
        <v>32</v>
      </c>
      <c r="G27" s="6"/>
      <c r="H27" s="6"/>
    </row>
    <row r="28" spans="1:8" x14ac:dyDescent="0.4">
      <c r="A28" s="5"/>
      <c r="B28" s="6"/>
      <c r="C28" s="6" t="s">
        <v>15</v>
      </c>
      <c r="D28" s="6" t="s">
        <v>17</v>
      </c>
      <c r="E28" s="6" t="s">
        <v>80</v>
      </c>
      <c r="F28" s="41">
        <v>2.25</v>
      </c>
      <c r="G28" s="6"/>
      <c r="H28" s="6"/>
    </row>
    <row r="29" spans="1:8" x14ac:dyDescent="0.4">
      <c r="A29" s="5">
        <v>45459</v>
      </c>
      <c r="B29" s="6" t="s">
        <v>31</v>
      </c>
      <c r="C29" s="6" t="s">
        <v>15</v>
      </c>
      <c r="D29" s="6" t="s">
        <v>19</v>
      </c>
      <c r="E29" s="6" t="s">
        <v>245</v>
      </c>
      <c r="F29" s="41">
        <f>13+10.5</f>
        <v>23.5</v>
      </c>
      <c r="G29" s="6"/>
      <c r="H29" s="6"/>
    </row>
    <row r="30" spans="1:8" x14ac:dyDescent="0.4">
      <c r="A30" s="5">
        <v>45460</v>
      </c>
      <c r="B30" s="6" t="s">
        <v>33</v>
      </c>
      <c r="C30" s="6" t="s">
        <v>15</v>
      </c>
      <c r="D30" s="6" t="s">
        <v>19</v>
      </c>
      <c r="E30" s="6" t="s">
        <v>246</v>
      </c>
      <c r="F30" s="41">
        <f>5+10.5+11</f>
        <v>26.5</v>
      </c>
      <c r="G30" s="6"/>
      <c r="H30" s="6"/>
    </row>
    <row r="31" spans="1:8" x14ac:dyDescent="0.4">
      <c r="A31" s="5"/>
      <c r="B31" s="6"/>
      <c r="C31" s="6" t="s">
        <v>15</v>
      </c>
      <c r="D31" s="6" t="s">
        <v>10</v>
      </c>
      <c r="E31" s="6" t="s">
        <v>230</v>
      </c>
      <c r="F31" s="41">
        <v>0.4</v>
      </c>
      <c r="G31" s="6"/>
      <c r="H31" s="6"/>
    </row>
    <row r="32" spans="1:8" x14ac:dyDescent="0.4">
      <c r="A32" s="5"/>
      <c r="B32" s="6"/>
      <c r="C32" s="6" t="s">
        <v>15</v>
      </c>
      <c r="D32" s="6" t="s">
        <v>17</v>
      </c>
      <c r="E32" s="6" t="s">
        <v>247</v>
      </c>
      <c r="F32" s="41">
        <v>20.11</v>
      </c>
      <c r="G32" s="6"/>
      <c r="H32" s="6"/>
    </row>
    <row r="33" spans="1:8" x14ac:dyDescent="0.4">
      <c r="A33" s="5">
        <v>45461</v>
      </c>
      <c r="B33" s="6" t="s">
        <v>20</v>
      </c>
      <c r="C33" s="6" t="s">
        <v>15</v>
      </c>
      <c r="D33" s="6" t="s">
        <v>19</v>
      </c>
      <c r="E33" s="6" t="s">
        <v>248</v>
      </c>
      <c r="F33" s="41">
        <f>4+14+12</f>
        <v>30</v>
      </c>
      <c r="G33" s="6"/>
      <c r="H33" s="6"/>
    </row>
    <row r="34" spans="1:8" x14ac:dyDescent="0.4">
      <c r="A34" s="5">
        <v>45462</v>
      </c>
      <c r="B34" s="6" t="s">
        <v>22</v>
      </c>
      <c r="C34" s="6" t="s">
        <v>15</v>
      </c>
      <c r="D34" s="6" t="s">
        <v>19</v>
      </c>
      <c r="E34" s="6" t="s">
        <v>249</v>
      </c>
      <c r="F34" s="41">
        <f>4+10.5</f>
        <v>14.5</v>
      </c>
      <c r="G34" s="6"/>
      <c r="H34" s="6"/>
    </row>
    <row r="35" spans="1:8" x14ac:dyDescent="0.4">
      <c r="A35" s="5"/>
      <c r="B35" s="6"/>
      <c r="C35" s="6" t="s">
        <v>15</v>
      </c>
      <c r="D35" s="6" t="s">
        <v>44</v>
      </c>
      <c r="E35" s="6" t="s">
        <v>250</v>
      </c>
      <c r="F35" s="41">
        <v>372.07</v>
      </c>
      <c r="G35" s="6"/>
      <c r="H35" s="6"/>
    </row>
    <row r="36" spans="1:8" x14ac:dyDescent="0.4">
      <c r="A36" s="5"/>
      <c r="B36" s="6"/>
      <c r="C36" s="6" t="s">
        <v>12</v>
      </c>
      <c r="D36" s="6" t="s">
        <v>17</v>
      </c>
      <c r="E36" s="6" t="s">
        <v>251</v>
      </c>
      <c r="G36" s="41">
        <v>-80</v>
      </c>
      <c r="H36" s="6"/>
    </row>
    <row r="37" spans="1:8" x14ac:dyDescent="0.4">
      <c r="A37" s="5">
        <v>45463</v>
      </c>
      <c r="B37" s="6" t="s">
        <v>23</v>
      </c>
      <c r="C37" s="6" t="s">
        <v>15</v>
      </c>
      <c r="D37" s="6" t="s">
        <v>19</v>
      </c>
      <c r="E37" s="6" t="s">
        <v>252</v>
      </c>
      <c r="F37" s="41">
        <f>8+2+4+13+12</f>
        <v>39</v>
      </c>
      <c r="G37" s="6"/>
      <c r="H37" s="6"/>
    </row>
    <row r="38" spans="1:8" x14ac:dyDescent="0.4">
      <c r="A38" s="5">
        <v>45464</v>
      </c>
      <c r="B38" s="6" t="s">
        <v>24</v>
      </c>
      <c r="C38" s="6" t="s">
        <v>15</v>
      </c>
      <c r="D38" s="6" t="s">
        <v>19</v>
      </c>
      <c r="E38" s="6" t="s">
        <v>253</v>
      </c>
      <c r="F38" s="41">
        <f>3+12+13</f>
        <v>28</v>
      </c>
      <c r="G38" s="6"/>
      <c r="H38" s="6"/>
    </row>
    <row r="39" spans="1:8" x14ac:dyDescent="0.4">
      <c r="A39" s="5">
        <v>45465</v>
      </c>
      <c r="B39" s="6" t="s">
        <v>29</v>
      </c>
      <c r="C39" s="6" t="s">
        <v>15</v>
      </c>
      <c r="D39" s="6" t="s">
        <v>17</v>
      </c>
      <c r="E39" s="6" t="s">
        <v>18</v>
      </c>
      <c r="F39" s="41">
        <v>8</v>
      </c>
      <c r="G39" s="6"/>
      <c r="H39" s="6"/>
    </row>
    <row r="40" spans="1:8" x14ac:dyDescent="0.4">
      <c r="A40" s="5"/>
      <c r="B40" s="6"/>
      <c r="C40" s="6" t="s">
        <v>15</v>
      </c>
      <c r="D40" s="6" t="s">
        <v>17</v>
      </c>
      <c r="E40" s="6" t="s">
        <v>254</v>
      </c>
      <c r="F40" s="41">
        <f>2.8+1.49</f>
        <v>4.29</v>
      </c>
      <c r="G40" s="6"/>
      <c r="H40" s="6"/>
    </row>
    <row r="41" spans="1:8" x14ac:dyDescent="0.4">
      <c r="A41" s="5">
        <v>45466</v>
      </c>
      <c r="B41" s="6" t="s">
        <v>31</v>
      </c>
      <c r="C41" s="6" t="s">
        <v>15</v>
      </c>
      <c r="D41" s="6" t="s">
        <v>19</v>
      </c>
      <c r="E41" s="6" t="s">
        <v>255</v>
      </c>
      <c r="F41" s="41">
        <f>8+9.89+13</f>
        <v>30.89</v>
      </c>
      <c r="G41" s="6"/>
      <c r="H41" s="6"/>
    </row>
    <row r="42" spans="1:8" x14ac:dyDescent="0.4">
      <c r="A42" s="5">
        <v>45467</v>
      </c>
      <c r="B42" s="6" t="s">
        <v>33</v>
      </c>
      <c r="C42" s="6" t="s">
        <v>15</v>
      </c>
      <c r="D42" s="6" t="s">
        <v>19</v>
      </c>
      <c r="E42" s="6" t="s">
        <v>256</v>
      </c>
      <c r="F42" s="41">
        <f>4+12.5+10</f>
        <v>26.5</v>
      </c>
      <c r="G42" s="6"/>
      <c r="H42" s="6"/>
    </row>
    <row r="43" spans="1:8" x14ac:dyDescent="0.4">
      <c r="A43" s="5"/>
      <c r="B43" s="6"/>
      <c r="C43" s="6" t="s">
        <v>15</v>
      </c>
      <c r="D43" s="6" t="s">
        <v>17</v>
      </c>
      <c r="E43" s="6" t="s">
        <v>80</v>
      </c>
      <c r="F43" s="41">
        <v>2.25</v>
      </c>
      <c r="G43" s="6"/>
      <c r="H43" s="6"/>
    </row>
    <row r="44" spans="1:8" x14ac:dyDescent="0.4">
      <c r="A44" s="5"/>
      <c r="B44" s="6"/>
      <c r="C44" s="6" t="s">
        <v>15</v>
      </c>
      <c r="D44" s="6" t="s">
        <v>19</v>
      </c>
      <c r="E44" s="6" t="s">
        <v>257</v>
      </c>
      <c r="F44" s="41">
        <v>3</v>
      </c>
      <c r="G44" s="6"/>
      <c r="H44" s="6"/>
    </row>
    <row r="45" spans="1:8" x14ac:dyDescent="0.4">
      <c r="A45" s="5">
        <v>45468</v>
      </c>
      <c r="B45" s="6" t="s">
        <v>20</v>
      </c>
      <c r="C45" s="6" t="s">
        <v>15</v>
      </c>
      <c r="D45" s="6" t="s">
        <v>19</v>
      </c>
      <c r="E45" s="6" t="s">
        <v>258</v>
      </c>
      <c r="F45" s="41">
        <f>5+10.5+10</f>
        <v>25.5</v>
      </c>
      <c r="G45" s="6"/>
      <c r="H45" s="6"/>
    </row>
    <row r="46" spans="1:8" x14ac:dyDescent="0.4">
      <c r="A46" s="5">
        <v>45469</v>
      </c>
      <c r="B46" s="6" t="s">
        <v>22</v>
      </c>
      <c r="C46" s="6" t="s">
        <v>15</v>
      </c>
      <c r="D46" s="6" t="s">
        <v>19</v>
      </c>
      <c r="E46" s="6" t="s">
        <v>259</v>
      </c>
      <c r="F46" s="41">
        <f>4+12+8</f>
        <v>24</v>
      </c>
      <c r="G46" s="6"/>
      <c r="H46" s="6"/>
    </row>
    <row r="47" spans="1:8" x14ac:dyDescent="0.4">
      <c r="A47" s="5">
        <v>45470</v>
      </c>
      <c r="B47" s="6" t="s">
        <v>23</v>
      </c>
      <c r="C47" s="6" t="s">
        <v>15</v>
      </c>
      <c r="D47" s="6" t="s">
        <v>19</v>
      </c>
      <c r="E47" s="6" t="s">
        <v>260</v>
      </c>
      <c r="F47" s="41">
        <f>4+10+14</f>
        <v>28</v>
      </c>
      <c r="G47" s="6"/>
      <c r="H47" s="6"/>
    </row>
    <row r="48" spans="1:8" x14ac:dyDescent="0.4">
      <c r="A48" s="5">
        <v>45471</v>
      </c>
      <c r="B48" s="6" t="s">
        <v>22</v>
      </c>
      <c r="C48" s="6" t="s">
        <v>15</v>
      </c>
      <c r="D48" s="6" t="s">
        <v>19</v>
      </c>
      <c r="E48" s="6" t="s">
        <v>261</v>
      </c>
      <c r="F48" s="41">
        <f>5+10+19</f>
        <v>34</v>
      </c>
      <c r="G48" s="6"/>
      <c r="H48" s="6"/>
    </row>
    <row r="49" spans="1:8" x14ac:dyDescent="0.4">
      <c r="A49" s="5">
        <v>45472</v>
      </c>
      <c r="B49" s="6" t="s">
        <v>23</v>
      </c>
      <c r="C49" s="6" t="s">
        <v>15</v>
      </c>
      <c r="D49" s="6" t="s">
        <v>19</v>
      </c>
      <c r="E49" s="6" t="s">
        <v>263</v>
      </c>
      <c r="F49" s="41">
        <f>4.5+13+12+4</f>
        <v>33.5</v>
      </c>
      <c r="G49" s="6"/>
      <c r="H49" s="6"/>
    </row>
    <row r="50" spans="1:8" x14ac:dyDescent="0.4">
      <c r="A50" s="5"/>
      <c r="B50" s="6"/>
      <c r="C50" s="6" t="s">
        <v>15</v>
      </c>
      <c r="D50" s="6" t="s">
        <v>17</v>
      </c>
      <c r="E50" s="6" t="s">
        <v>80</v>
      </c>
      <c r="F50" s="41">
        <v>2.25</v>
      </c>
      <c r="G50" s="6"/>
      <c r="H50" s="6"/>
    </row>
    <row r="51" spans="1:8" x14ac:dyDescent="0.4">
      <c r="A51" s="5">
        <v>45473</v>
      </c>
      <c r="B51" s="6" t="s">
        <v>24</v>
      </c>
      <c r="C51" s="6" t="s">
        <v>15</v>
      </c>
      <c r="D51" s="6" t="s">
        <v>19</v>
      </c>
      <c r="E51" s="6" t="s">
        <v>264</v>
      </c>
      <c r="F51" s="41">
        <f>5+11+3+14</f>
        <v>33</v>
      </c>
      <c r="G51" s="6"/>
      <c r="H51" s="6"/>
    </row>
    <row r="52" spans="1:8" x14ac:dyDescent="0.4">
      <c r="A52" s="5"/>
      <c r="B52" s="6"/>
      <c r="C52" s="6" t="s">
        <v>15</v>
      </c>
      <c r="D52" s="6" t="s">
        <v>17</v>
      </c>
      <c r="E52" s="6" t="s">
        <v>265</v>
      </c>
      <c r="F52" s="41">
        <f>9.9+7</f>
        <v>16.899999999999999</v>
      </c>
      <c r="G52" s="6"/>
      <c r="H52" s="6"/>
    </row>
    <row r="53" spans="1:8" x14ac:dyDescent="0.4">
      <c r="A53" s="5"/>
      <c r="B53" s="6"/>
      <c r="C53" s="6"/>
      <c r="D53" s="6"/>
      <c r="E53" s="6"/>
      <c r="F53" s="41"/>
      <c r="G53" s="41">
        <f>SUM(SUM(F4:F10)+SUM(F12:F35)+SUM(F37:F52))</f>
        <v>1264.8499999999999</v>
      </c>
      <c r="H53" s="41">
        <f>G36+G11</f>
        <v>-157.25</v>
      </c>
    </row>
    <row r="54" spans="1:8" x14ac:dyDescent="0.4">
      <c r="A54" s="5"/>
      <c r="B54" s="6"/>
      <c r="C54" s="6"/>
      <c r="D54" s="6"/>
      <c r="E54" s="6"/>
      <c r="F54" s="41"/>
      <c r="G54" s="6" t="s">
        <v>266</v>
      </c>
      <c r="H54" s="6">
        <v>-600</v>
      </c>
    </row>
    <row r="55" spans="1:8" x14ac:dyDescent="0.4">
      <c r="A55" s="5"/>
      <c r="B55" s="6"/>
      <c r="C55" s="6"/>
      <c r="D55" s="6"/>
      <c r="E55" s="6"/>
      <c r="F55" s="41"/>
      <c r="G55" s="6"/>
      <c r="H55" s="6"/>
    </row>
    <row r="56" spans="1:8" x14ac:dyDescent="0.4">
      <c r="A56" s="5"/>
      <c r="B56" s="6"/>
      <c r="C56" s="6"/>
      <c r="D56" s="6"/>
      <c r="E56" s="6"/>
      <c r="F56" s="41"/>
      <c r="G56" s="6"/>
      <c r="H56" s="6"/>
    </row>
    <row r="57" spans="1:8" x14ac:dyDescent="0.4">
      <c r="A57" s="5"/>
      <c r="B57" s="6"/>
      <c r="C57" s="6"/>
      <c r="D57" s="6"/>
      <c r="E57" s="6"/>
      <c r="F57" s="41"/>
      <c r="G57" s="6"/>
      <c r="H57" s="6"/>
    </row>
    <row r="58" spans="1:8" x14ac:dyDescent="0.4">
      <c r="A58" s="5"/>
      <c r="B58" s="6"/>
      <c r="C58" s="6"/>
      <c r="D58" s="6"/>
      <c r="E58" s="6"/>
      <c r="F58" s="41"/>
      <c r="G58" s="6"/>
      <c r="H58" s="6"/>
    </row>
    <row r="59" spans="1:8" x14ac:dyDescent="0.4">
      <c r="A59" s="5"/>
      <c r="B59" s="6"/>
      <c r="C59" s="6"/>
      <c r="D59" s="6"/>
      <c r="E59" s="6"/>
      <c r="F59" s="41"/>
      <c r="G59" s="6"/>
      <c r="H59" s="6"/>
    </row>
    <row r="60" spans="1:8" x14ac:dyDescent="0.4">
      <c r="A60" s="5"/>
      <c r="B60" s="6"/>
      <c r="C60" s="6"/>
      <c r="D60" s="6"/>
      <c r="E60" s="6"/>
      <c r="F60" s="41"/>
      <c r="G60" s="6"/>
      <c r="H60" s="6"/>
    </row>
    <row r="61" spans="1:8" x14ac:dyDescent="0.4">
      <c r="A61" s="5"/>
      <c r="B61" s="6"/>
      <c r="C61" s="6"/>
      <c r="D61" s="6"/>
      <c r="E61" s="6"/>
      <c r="F61" s="41"/>
      <c r="G61" s="6"/>
      <c r="H61" s="6"/>
    </row>
    <row r="62" spans="1:8" x14ac:dyDescent="0.4">
      <c r="A62" s="5"/>
      <c r="B62" s="6"/>
      <c r="C62" s="6"/>
      <c r="D62" s="6"/>
      <c r="E62" s="6"/>
      <c r="F62" s="41"/>
      <c r="G62" s="6"/>
      <c r="H62" s="6"/>
    </row>
    <row r="63" spans="1:8" x14ac:dyDescent="0.4">
      <c r="A63" s="5"/>
      <c r="B63" s="6"/>
      <c r="C63" s="6"/>
      <c r="D63" s="6"/>
      <c r="E63" s="6"/>
      <c r="F63" s="41"/>
      <c r="G63" s="6"/>
      <c r="H63" s="6"/>
    </row>
    <row r="64" spans="1:8" x14ac:dyDescent="0.4">
      <c r="A64" s="5"/>
      <c r="B64" s="6"/>
      <c r="C64" s="6"/>
      <c r="D64" s="6"/>
      <c r="E64" s="6"/>
      <c r="F64" s="41"/>
      <c r="G64" s="6"/>
      <c r="H64" s="6"/>
    </row>
    <row r="65" spans="1:8" x14ac:dyDescent="0.4">
      <c r="A65" s="5"/>
      <c r="B65" s="6"/>
      <c r="C65" s="6"/>
      <c r="D65" s="6"/>
      <c r="E65" s="6"/>
      <c r="F65" s="41"/>
      <c r="G65" s="6"/>
      <c r="H65" s="6"/>
    </row>
    <row r="66" spans="1:8" x14ac:dyDescent="0.4">
      <c r="A66" s="5"/>
      <c r="B66" s="6"/>
      <c r="C66" s="6"/>
      <c r="D66" s="6"/>
      <c r="E66" s="6"/>
      <c r="F66" s="41"/>
      <c r="G66" s="6"/>
      <c r="H66" s="6"/>
    </row>
    <row r="67" spans="1:8" x14ac:dyDescent="0.4">
      <c r="A67" s="5"/>
      <c r="B67" s="6"/>
      <c r="C67" s="6"/>
      <c r="D67" s="6"/>
      <c r="E67" s="6"/>
      <c r="F67" s="41"/>
      <c r="G67" s="6"/>
      <c r="H67" s="6"/>
    </row>
    <row r="68" spans="1:8" x14ac:dyDescent="0.4">
      <c r="A68" s="5"/>
      <c r="B68" s="6"/>
      <c r="C68" s="6"/>
      <c r="D68" s="6"/>
      <c r="E68" s="6"/>
      <c r="F68" s="41"/>
      <c r="G68" s="6"/>
      <c r="H68" s="6"/>
    </row>
    <row r="69" spans="1:8" x14ac:dyDescent="0.4">
      <c r="A69" s="5"/>
      <c r="B69" s="6"/>
      <c r="C69" s="6"/>
      <c r="D69" s="6"/>
      <c r="E69" s="6"/>
      <c r="F69" s="41"/>
      <c r="G69" s="6"/>
      <c r="H69" s="6"/>
    </row>
    <row r="70" spans="1:8" x14ac:dyDescent="0.4">
      <c r="A70" s="5"/>
      <c r="B70" s="6"/>
      <c r="C70" s="6"/>
      <c r="D70" s="6"/>
      <c r="E70" s="6"/>
      <c r="F70" s="41"/>
      <c r="G70" s="6"/>
      <c r="H70" s="6"/>
    </row>
    <row r="71" spans="1:8" x14ac:dyDescent="0.4">
      <c r="A71" s="5"/>
      <c r="B71" s="6"/>
      <c r="C71" s="6"/>
      <c r="D71" s="6"/>
      <c r="E71" s="6"/>
      <c r="F71" s="41"/>
      <c r="G71" s="6"/>
      <c r="H71" s="6"/>
    </row>
    <row r="72" spans="1:8" x14ac:dyDescent="0.4">
      <c r="A72" s="5"/>
      <c r="B72" s="6"/>
      <c r="C72" s="6"/>
      <c r="D72" s="6"/>
      <c r="E72" s="6"/>
      <c r="F72" s="41"/>
      <c r="G72" s="6"/>
      <c r="H72" s="6"/>
    </row>
    <row r="73" spans="1:8" x14ac:dyDescent="0.4">
      <c r="A73" s="5"/>
      <c r="B73" s="6"/>
      <c r="C73" s="6"/>
      <c r="D73" s="6"/>
      <c r="E73" s="6"/>
      <c r="F73" s="41"/>
      <c r="G73" s="6"/>
      <c r="H73" s="6"/>
    </row>
    <row r="74" spans="1:8" x14ac:dyDescent="0.4">
      <c r="A74" s="5"/>
      <c r="B74" s="6"/>
      <c r="C74" s="6"/>
      <c r="D74" s="6"/>
      <c r="E74" s="6"/>
      <c r="F74" s="41"/>
      <c r="G74" s="6"/>
      <c r="H74" s="6"/>
    </row>
    <row r="75" spans="1:8" x14ac:dyDescent="0.4">
      <c r="A75" s="5"/>
      <c r="B75" s="6"/>
      <c r="C75" s="6"/>
      <c r="D75" s="6"/>
      <c r="E75" s="6"/>
      <c r="F75" s="41"/>
      <c r="G75" s="6"/>
      <c r="H75" s="6"/>
    </row>
    <row r="76" spans="1:8" x14ac:dyDescent="0.4">
      <c r="A76" s="5"/>
      <c r="B76" s="6"/>
      <c r="C76" s="6"/>
      <c r="D76" s="6"/>
      <c r="E76" s="6"/>
      <c r="F76" s="41"/>
      <c r="G76" s="6"/>
      <c r="H76" s="6"/>
    </row>
  </sheetData>
  <protectedRanges>
    <protectedRange sqref="G11 A4:E76 H4:H76 F4:G10 G36 F12:G35 F37:G76" name="编辑区"/>
  </protectedRanges>
  <mergeCells count="2">
    <mergeCell ref="A1:B2"/>
    <mergeCell ref="C1:H2"/>
  </mergeCells>
  <phoneticPr fontId="1" type="noConversion"/>
  <dataValidations count="3">
    <dataValidation type="list" allowBlank="1" showInputMessage="1" showErrorMessage="1" sqref="D3:D76" xr:uid="{BB9C1A3F-B919-471F-A46B-D17B162EB29B}">
      <formula1>"饮食,学习,生活,外务,增值,特别立项"</formula1>
    </dataValidation>
    <dataValidation type="list" allowBlank="1" showInputMessage="1" showErrorMessage="1" sqref="C3:C76" xr:uid="{DD8B45CA-0F84-44DD-A6A6-4A21ED2E5D22}">
      <formula1>"收,支"</formula1>
    </dataValidation>
    <dataValidation type="list" allowBlank="1" showInputMessage="1" showErrorMessage="1" sqref="B4" xr:uid="{F75DFBAE-69B4-4A3C-A353-550C9069C4F5}">
      <formula1>"MO,TU,WE,TH,FR,SA,SU"</formula1>
    </dataValidation>
  </dataValidations>
  <hyperlinks>
    <hyperlink ref="A1:B2" location="主页!A1" display="返回主页" xr:uid="{442BC665-FB69-438C-B104-EECB544A6475}"/>
    <hyperlink ref="C1:H2" location="Sheet48最后数!A1" display="2024年6月财报" xr:uid="{F62DA0B3-232E-4578-A53D-F0857CBC61D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2A38-BEB1-4CB4-B4B3-9327170EA7F0}">
  <sheetPr codeName="Sheet9"/>
  <dimension ref="A1:H76"/>
  <sheetViews>
    <sheetView workbookViewId="0">
      <selection sqref="A1:B2"/>
    </sheetView>
  </sheetViews>
  <sheetFormatPr defaultRowHeight="13.9" x14ac:dyDescent="0.4"/>
  <cols>
    <col min="1" max="1" width="9.53125" bestFit="1" customWidth="1"/>
    <col min="5" max="5" width="38.3984375" customWidth="1"/>
    <col min="6" max="6" width="9.3984375" style="42" bestFit="1" customWidth="1"/>
    <col min="8" max="8" width="9.3984375" bestFit="1" customWidth="1"/>
  </cols>
  <sheetData>
    <row r="1" spans="1:8" x14ac:dyDescent="0.4">
      <c r="A1" s="78" t="s">
        <v>1</v>
      </c>
      <c r="B1" s="78"/>
      <c r="C1" s="95" t="s">
        <v>267</v>
      </c>
      <c r="D1" s="96"/>
      <c r="E1" s="96"/>
      <c r="F1" s="96"/>
      <c r="G1" s="96"/>
      <c r="H1" s="96"/>
    </row>
    <row r="2" spans="1:8" x14ac:dyDescent="0.4">
      <c r="A2" s="78"/>
      <c r="B2" s="78"/>
      <c r="C2" s="96"/>
      <c r="D2" s="96"/>
      <c r="E2" s="96"/>
      <c r="F2" s="96"/>
      <c r="G2" s="96"/>
      <c r="H2" s="96"/>
    </row>
    <row r="3" spans="1:8" x14ac:dyDescent="0.4">
      <c r="A3" s="5" t="s">
        <v>0</v>
      </c>
      <c r="B3" s="6" t="s">
        <v>3</v>
      </c>
      <c r="C3" s="6" t="s">
        <v>5</v>
      </c>
      <c r="D3" s="6" t="s">
        <v>4</v>
      </c>
      <c r="E3" s="6" t="s">
        <v>6</v>
      </c>
      <c r="F3" s="41" t="s">
        <v>7</v>
      </c>
      <c r="G3" s="6" t="s">
        <v>8</v>
      </c>
      <c r="H3" s="6" t="s">
        <v>9</v>
      </c>
    </row>
    <row r="4" spans="1:8" x14ac:dyDescent="0.4">
      <c r="A4" s="5">
        <v>45474</v>
      </c>
      <c r="B4" s="6" t="s">
        <v>11</v>
      </c>
      <c r="C4" s="6" t="s">
        <v>15</v>
      </c>
      <c r="D4" s="6" t="s">
        <v>19</v>
      </c>
      <c r="E4" s="6" t="s">
        <v>268</v>
      </c>
      <c r="F4" s="41">
        <f>3+1+10.5</f>
        <v>14.5</v>
      </c>
      <c r="G4" s="6"/>
      <c r="H4" s="6"/>
    </row>
    <row r="5" spans="1:8" x14ac:dyDescent="0.4">
      <c r="A5" s="5"/>
      <c r="B5" s="6"/>
      <c r="C5" s="6" t="s">
        <v>15</v>
      </c>
      <c r="D5" s="6" t="s">
        <v>17</v>
      </c>
      <c r="E5" s="6" t="s">
        <v>18</v>
      </c>
      <c r="F5" s="41">
        <v>6</v>
      </c>
      <c r="G5" s="6">
        <v>20000</v>
      </c>
      <c r="H5" s="6"/>
    </row>
    <row r="6" spans="1:8" x14ac:dyDescent="0.4">
      <c r="A6" s="5">
        <v>45475</v>
      </c>
      <c r="B6" s="6" t="s">
        <v>20</v>
      </c>
      <c r="C6" s="6" t="s">
        <v>15</v>
      </c>
      <c r="D6" s="6" t="s">
        <v>19</v>
      </c>
      <c r="E6" s="6" t="s">
        <v>225</v>
      </c>
      <c r="F6" s="41">
        <f>5+13</f>
        <v>18</v>
      </c>
      <c r="G6" s="6"/>
      <c r="H6" s="6"/>
    </row>
    <row r="7" spans="1:8" x14ac:dyDescent="0.4">
      <c r="A7" s="5">
        <v>45476</v>
      </c>
      <c r="B7" s="6" t="s">
        <v>22</v>
      </c>
      <c r="C7" s="6" t="s">
        <v>15</v>
      </c>
      <c r="D7" s="6" t="s">
        <v>19</v>
      </c>
      <c r="E7" s="6" t="s">
        <v>170</v>
      </c>
      <c r="F7" s="41">
        <f>4+13+12</f>
        <v>29</v>
      </c>
      <c r="G7" s="6"/>
      <c r="H7" s="6"/>
    </row>
    <row r="8" spans="1:8" x14ac:dyDescent="0.4">
      <c r="A8" s="5"/>
      <c r="B8" s="6"/>
      <c r="C8" s="6" t="s">
        <v>15</v>
      </c>
      <c r="D8" s="6" t="s">
        <v>17</v>
      </c>
      <c r="E8" s="6" t="s">
        <v>269</v>
      </c>
      <c r="F8" s="41">
        <v>33.340000000000003</v>
      </c>
      <c r="G8" s="6"/>
      <c r="H8" s="6"/>
    </row>
    <row r="9" spans="1:8" x14ac:dyDescent="0.4">
      <c r="A9" s="5"/>
      <c r="B9" s="6"/>
      <c r="C9" s="6" t="s">
        <v>15</v>
      </c>
      <c r="D9" s="6" t="s">
        <v>17</v>
      </c>
      <c r="E9" s="6"/>
      <c r="F9" s="41">
        <v>53.8</v>
      </c>
      <c r="G9" s="6"/>
      <c r="H9" s="6"/>
    </row>
    <row r="10" spans="1:8" x14ac:dyDescent="0.4">
      <c r="A10" s="5">
        <v>45477</v>
      </c>
      <c r="B10" s="6" t="s">
        <v>23</v>
      </c>
      <c r="C10" s="6" t="s">
        <v>15</v>
      </c>
      <c r="D10" s="6" t="s">
        <v>19</v>
      </c>
      <c r="E10" s="6" t="s">
        <v>270</v>
      </c>
      <c r="F10" s="41">
        <f>4.5+13+4</f>
        <v>21.5</v>
      </c>
      <c r="G10" s="6"/>
      <c r="H10" s="6"/>
    </row>
    <row r="11" spans="1:8" x14ac:dyDescent="0.4">
      <c r="A11" s="5">
        <v>45478</v>
      </c>
      <c r="B11" s="6" t="s">
        <v>24</v>
      </c>
      <c r="C11" s="6" t="s">
        <v>15</v>
      </c>
      <c r="D11" s="6" t="s">
        <v>19</v>
      </c>
      <c r="E11" s="6" t="s">
        <v>271</v>
      </c>
      <c r="F11" s="41">
        <f>4+6+12+7</f>
        <v>29</v>
      </c>
      <c r="G11" s="6"/>
      <c r="H11" s="6"/>
    </row>
    <row r="12" spans="1:8" x14ac:dyDescent="0.4">
      <c r="A12" s="5">
        <v>45479</v>
      </c>
      <c r="B12" s="6" t="s">
        <v>29</v>
      </c>
      <c r="C12" s="6" t="s">
        <v>15</v>
      </c>
      <c r="D12" s="6" t="s">
        <v>17</v>
      </c>
      <c r="E12" s="6" t="s">
        <v>18</v>
      </c>
      <c r="F12" s="41">
        <v>8</v>
      </c>
      <c r="G12" s="6"/>
      <c r="H12" s="6"/>
    </row>
    <row r="13" spans="1:8" x14ac:dyDescent="0.4">
      <c r="A13" s="5"/>
      <c r="B13" s="6"/>
      <c r="C13" s="6" t="s">
        <v>15</v>
      </c>
      <c r="D13" s="6" t="s">
        <v>19</v>
      </c>
      <c r="E13" s="6">
        <v>5</v>
      </c>
      <c r="F13" s="41">
        <v>5</v>
      </c>
      <c r="G13" s="6"/>
      <c r="H13" s="6"/>
    </row>
    <row r="14" spans="1:8" x14ac:dyDescent="0.4">
      <c r="A14" s="5">
        <v>45481</v>
      </c>
      <c r="B14" s="6" t="s">
        <v>33</v>
      </c>
      <c r="C14" s="6" t="s">
        <v>15</v>
      </c>
      <c r="D14" s="6" t="s">
        <v>19</v>
      </c>
      <c r="E14" s="6" t="s">
        <v>272</v>
      </c>
      <c r="F14" s="41">
        <f>10+16</f>
        <v>26</v>
      </c>
      <c r="G14" s="6"/>
      <c r="H14" s="6"/>
    </row>
    <row r="15" spans="1:8" x14ac:dyDescent="0.4">
      <c r="A15" s="5"/>
      <c r="B15" s="6"/>
      <c r="C15" s="6" t="s">
        <v>15</v>
      </c>
      <c r="D15" s="6" t="s">
        <v>17</v>
      </c>
      <c r="E15" s="6" t="s">
        <v>18</v>
      </c>
      <c r="F15" s="41">
        <v>8</v>
      </c>
      <c r="G15" s="6"/>
      <c r="H15" s="6"/>
    </row>
    <row r="16" spans="1:8" x14ac:dyDescent="0.4">
      <c r="A16" s="5"/>
      <c r="B16" s="6"/>
      <c r="C16" s="6" t="s">
        <v>15</v>
      </c>
      <c r="D16" s="6"/>
      <c r="E16" s="6"/>
      <c r="F16" s="41"/>
      <c r="G16" s="6"/>
      <c r="H16" s="6"/>
    </row>
    <row r="17" spans="1:8" x14ac:dyDescent="0.4">
      <c r="A17" s="5"/>
      <c r="B17" s="6"/>
      <c r="C17" s="6" t="s">
        <v>15</v>
      </c>
      <c r="D17" s="6" t="s">
        <v>17</v>
      </c>
      <c r="E17" s="6">
        <v>5.5</v>
      </c>
      <c r="F17" s="41">
        <v>5.5</v>
      </c>
      <c r="G17" s="6"/>
      <c r="H17" s="6"/>
    </row>
    <row r="18" spans="1:8" x14ac:dyDescent="0.4">
      <c r="A18" s="5">
        <v>45482</v>
      </c>
      <c r="B18" s="6" t="s">
        <v>20</v>
      </c>
      <c r="C18" s="6" t="s">
        <v>15</v>
      </c>
      <c r="D18" s="6" t="s">
        <v>19</v>
      </c>
      <c r="E18" s="6" t="s">
        <v>273</v>
      </c>
      <c r="F18" s="41">
        <f>4.5+12+10</f>
        <v>26.5</v>
      </c>
      <c r="G18" s="6"/>
      <c r="H18" s="6"/>
    </row>
    <row r="19" spans="1:8" x14ac:dyDescent="0.4">
      <c r="A19" s="5"/>
      <c r="B19" s="6"/>
      <c r="C19" s="6" t="s">
        <v>15</v>
      </c>
      <c r="D19" s="6" t="s">
        <v>10</v>
      </c>
      <c r="E19" s="6">
        <v>10</v>
      </c>
      <c r="F19" s="41">
        <v>10</v>
      </c>
      <c r="G19" s="6"/>
      <c r="H19" s="6"/>
    </row>
    <row r="20" spans="1:8" x14ac:dyDescent="0.4">
      <c r="A20" s="5">
        <v>45483</v>
      </c>
      <c r="B20" s="6" t="s">
        <v>22</v>
      </c>
      <c r="C20" s="6" t="s">
        <v>15</v>
      </c>
      <c r="D20" s="6" t="s">
        <v>19</v>
      </c>
      <c r="E20" s="6" t="s">
        <v>274</v>
      </c>
      <c r="F20" s="41">
        <f>4.5+13+10</f>
        <v>27.5</v>
      </c>
      <c r="G20" s="6"/>
      <c r="H20" s="6"/>
    </row>
    <row r="21" spans="1:8" x14ac:dyDescent="0.4">
      <c r="A21" s="5">
        <v>45484</v>
      </c>
      <c r="B21" s="6" t="s">
        <v>23</v>
      </c>
      <c r="C21" s="6" t="s">
        <v>15</v>
      </c>
      <c r="D21" s="6" t="s">
        <v>19</v>
      </c>
      <c r="E21" s="6" t="s">
        <v>186</v>
      </c>
      <c r="F21" s="41">
        <f>4+10+11</f>
        <v>25</v>
      </c>
      <c r="G21" s="6"/>
      <c r="H21" s="6"/>
    </row>
    <row r="22" spans="1:8" x14ac:dyDescent="0.4">
      <c r="A22" s="5">
        <v>45485</v>
      </c>
      <c r="B22" s="6" t="s">
        <v>24</v>
      </c>
      <c r="C22" s="6" t="s">
        <v>15</v>
      </c>
      <c r="D22" s="6" t="s">
        <v>19</v>
      </c>
      <c r="E22" s="6">
        <v>4.5</v>
      </c>
      <c r="F22" s="41">
        <v>4.5</v>
      </c>
      <c r="G22" s="6"/>
      <c r="H22" s="6"/>
    </row>
    <row r="23" spans="1:8" x14ac:dyDescent="0.4">
      <c r="A23" s="5">
        <v>45488</v>
      </c>
      <c r="B23" s="6" t="s">
        <v>33</v>
      </c>
      <c r="C23" s="6" t="s">
        <v>15</v>
      </c>
      <c r="D23" s="6" t="s">
        <v>10</v>
      </c>
      <c r="E23" s="6">
        <v>9.8000000000000007</v>
      </c>
      <c r="F23" s="41">
        <v>9.8000000000000007</v>
      </c>
      <c r="G23" s="6"/>
      <c r="H23" s="6"/>
    </row>
    <row r="24" spans="1:8" x14ac:dyDescent="0.4">
      <c r="A24" s="5"/>
      <c r="B24" s="6"/>
      <c r="C24" s="6" t="s">
        <v>15</v>
      </c>
      <c r="D24" s="6" t="s">
        <v>17</v>
      </c>
      <c r="E24" s="6" t="s">
        <v>18</v>
      </c>
      <c r="F24" s="41">
        <f>5+2+5</f>
        <v>12</v>
      </c>
      <c r="G24" s="6"/>
      <c r="H24" s="6"/>
    </row>
    <row r="25" spans="1:8" x14ac:dyDescent="0.4">
      <c r="A25" s="5"/>
      <c r="B25" s="6"/>
      <c r="C25" s="6" t="s">
        <v>15</v>
      </c>
      <c r="D25" s="6" t="s">
        <v>17</v>
      </c>
      <c r="E25" s="6" t="s">
        <v>269</v>
      </c>
      <c r="F25" s="41">
        <v>20</v>
      </c>
      <c r="G25" s="6"/>
      <c r="H25" s="6"/>
    </row>
    <row r="26" spans="1:8" x14ac:dyDescent="0.4">
      <c r="A26" s="5"/>
      <c r="B26" s="6"/>
      <c r="C26" s="6" t="s">
        <v>15</v>
      </c>
      <c r="D26" s="6" t="s">
        <v>19</v>
      </c>
      <c r="E26" s="6" t="s">
        <v>275</v>
      </c>
      <c r="F26" s="41">
        <f>13+11</f>
        <v>24</v>
      </c>
      <c r="G26" s="6"/>
      <c r="H26" s="6"/>
    </row>
    <row r="27" spans="1:8" x14ac:dyDescent="0.4">
      <c r="A27" s="5">
        <v>45489</v>
      </c>
      <c r="B27" s="6" t="s">
        <v>20</v>
      </c>
      <c r="C27" s="6" t="s">
        <v>15</v>
      </c>
      <c r="D27" s="6" t="s">
        <v>19</v>
      </c>
      <c r="E27" s="6" t="s">
        <v>276</v>
      </c>
      <c r="F27" s="41">
        <f>4.5+13+11</f>
        <v>28.5</v>
      </c>
      <c r="G27" s="6"/>
      <c r="H27" s="6"/>
    </row>
    <row r="28" spans="1:8" x14ac:dyDescent="0.4">
      <c r="A28" s="5"/>
      <c r="B28" s="6"/>
      <c r="C28" s="6" t="s">
        <v>15</v>
      </c>
      <c r="D28" s="6" t="s">
        <v>19</v>
      </c>
      <c r="E28" s="6">
        <v>9</v>
      </c>
      <c r="F28" s="41">
        <v>9</v>
      </c>
      <c r="G28" s="6"/>
      <c r="H28" s="6"/>
    </row>
    <row r="29" spans="1:8" x14ac:dyDescent="0.4">
      <c r="A29" s="5">
        <v>45490</v>
      </c>
      <c r="B29" s="6" t="s">
        <v>22</v>
      </c>
      <c r="C29" s="6" t="s">
        <v>15</v>
      </c>
      <c r="D29" s="6" t="s">
        <v>19</v>
      </c>
      <c r="E29" s="6" t="s">
        <v>277</v>
      </c>
      <c r="F29" s="41">
        <f>4.5+11+10</f>
        <v>25.5</v>
      </c>
      <c r="G29" s="6"/>
      <c r="H29" s="6"/>
    </row>
    <row r="30" spans="1:8" x14ac:dyDescent="0.4">
      <c r="A30" s="5">
        <v>45491</v>
      </c>
      <c r="B30" s="6" t="s">
        <v>23</v>
      </c>
      <c r="C30" s="6" t="s">
        <v>15</v>
      </c>
      <c r="D30" s="6" t="s">
        <v>19</v>
      </c>
      <c r="E30" s="6" t="s">
        <v>273</v>
      </c>
      <c r="F30" s="41">
        <f>4.5+12+10</f>
        <v>26.5</v>
      </c>
      <c r="G30" s="6"/>
      <c r="H30" s="6"/>
    </row>
    <row r="31" spans="1:8" x14ac:dyDescent="0.4">
      <c r="A31" s="5">
        <v>45492</v>
      </c>
      <c r="B31" s="6" t="s">
        <v>24</v>
      </c>
      <c r="C31" s="6" t="s">
        <v>15</v>
      </c>
      <c r="D31" s="6" t="s">
        <v>19</v>
      </c>
      <c r="E31" s="6" t="s">
        <v>277</v>
      </c>
      <c r="F31" s="41">
        <f>4.5+11+10</f>
        <v>25.5</v>
      </c>
      <c r="G31" s="6"/>
      <c r="H31" s="6"/>
    </row>
    <row r="32" spans="1:8" x14ac:dyDescent="0.4">
      <c r="A32" s="5"/>
      <c r="B32" s="6"/>
      <c r="C32" s="6" t="s">
        <v>15</v>
      </c>
      <c r="D32" s="6" t="s">
        <v>17</v>
      </c>
      <c r="E32" s="6" t="s">
        <v>155</v>
      </c>
      <c r="F32" s="41">
        <f>50</f>
        <v>50</v>
      </c>
      <c r="G32" s="6"/>
      <c r="H32" s="6"/>
    </row>
    <row r="33" spans="1:8" x14ac:dyDescent="0.4">
      <c r="A33" s="5">
        <v>45493</v>
      </c>
      <c r="B33" s="6" t="s">
        <v>29</v>
      </c>
      <c r="C33" s="6" t="s">
        <v>15</v>
      </c>
      <c r="D33" s="6" t="s">
        <v>19</v>
      </c>
      <c r="E33" s="6" t="s">
        <v>278</v>
      </c>
      <c r="F33" s="41">
        <v>14.5</v>
      </c>
      <c r="G33" s="6"/>
      <c r="H33" s="6"/>
    </row>
    <row r="34" spans="1:8" x14ac:dyDescent="0.4">
      <c r="A34" s="5"/>
      <c r="B34" s="6"/>
      <c r="C34" s="6" t="s">
        <v>15</v>
      </c>
      <c r="D34" s="6" t="s">
        <v>17</v>
      </c>
      <c r="E34" s="6" t="s">
        <v>18</v>
      </c>
      <c r="F34" s="41">
        <v>8</v>
      </c>
      <c r="G34" s="6"/>
      <c r="H34" s="6"/>
    </row>
    <row r="35" spans="1:8" x14ac:dyDescent="0.4">
      <c r="A35" s="5"/>
      <c r="B35" s="6"/>
      <c r="C35" s="6" t="s">
        <v>15</v>
      </c>
      <c r="D35" s="6" t="s">
        <v>44</v>
      </c>
      <c r="E35" s="6" t="s">
        <v>250</v>
      </c>
      <c r="F35" s="41">
        <v>372.07</v>
      </c>
      <c r="G35" s="6"/>
      <c r="H35" s="6"/>
    </row>
    <row r="36" spans="1:8" x14ac:dyDescent="0.4">
      <c r="A36" s="5">
        <v>45495</v>
      </c>
      <c r="B36" s="6" t="s">
        <v>33</v>
      </c>
      <c r="C36" s="6" t="s">
        <v>15</v>
      </c>
      <c r="D36" s="6" t="s">
        <v>19</v>
      </c>
      <c r="E36" s="6" t="s">
        <v>279</v>
      </c>
      <c r="F36" s="41">
        <f>9+12.5</f>
        <v>21.5</v>
      </c>
      <c r="G36" s="6"/>
      <c r="H36" s="6"/>
    </row>
    <row r="37" spans="1:8" x14ac:dyDescent="0.4">
      <c r="A37" s="5"/>
      <c r="B37" s="6"/>
      <c r="C37" s="6" t="s">
        <v>15</v>
      </c>
      <c r="D37" s="6" t="s">
        <v>17</v>
      </c>
      <c r="E37" s="6" t="s">
        <v>18</v>
      </c>
      <c r="F37" s="41">
        <v>8</v>
      </c>
      <c r="G37" s="6" t="s">
        <v>280</v>
      </c>
      <c r="H37" s="6">
        <v>160</v>
      </c>
    </row>
    <row r="38" spans="1:8" x14ac:dyDescent="0.4">
      <c r="A38" s="5">
        <v>45496</v>
      </c>
      <c r="B38" s="6" t="s">
        <v>20</v>
      </c>
      <c r="C38" s="6" t="s">
        <v>15</v>
      </c>
      <c r="D38" s="6" t="s">
        <v>19</v>
      </c>
      <c r="E38" s="6" t="s">
        <v>278</v>
      </c>
      <c r="F38" s="41">
        <f>4.5+10</f>
        <v>14.5</v>
      </c>
      <c r="G38" s="6"/>
      <c r="H38" s="6"/>
    </row>
    <row r="39" spans="1:8" x14ac:dyDescent="0.4">
      <c r="A39" s="5">
        <v>45497</v>
      </c>
      <c r="B39" s="6" t="s">
        <v>22</v>
      </c>
      <c r="C39" s="6" t="s">
        <v>15</v>
      </c>
      <c r="D39" s="6" t="s">
        <v>19</v>
      </c>
      <c r="E39" s="6" t="s">
        <v>281</v>
      </c>
      <c r="F39" s="41">
        <f>4.5+10+13</f>
        <v>27.5</v>
      </c>
      <c r="G39" s="6"/>
      <c r="H39" s="6"/>
    </row>
    <row r="40" spans="1:8" x14ac:dyDescent="0.4">
      <c r="A40" s="5"/>
      <c r="B40" s="6"/>
      <c r="C40" s="6" t="s">
        <v>15</v>
      </c>
      <c r="D40" s="6" t="s">
        <v>17</v>
      </c>
      <c r="E40" s="6" t="s">
        <v>269</v>
      </c>
      <c r="F40" s="41">
        <v>20</v>
      </c>
      <c r="G40" s="6"/>
      <c r="H40" s="6"/>
    </row>
    <row r="41" spans="1:8" x14ac:dyDescent="0.4">
      <c r="A41" s="5">
        <v>45498</v>
      </c>
      <c r="B41" s="6" t="s">
        <v>23</v>
      </c>
      <c r="C41" s="6" t="s">
        <v>15</v>
      </c>
      <c r="D41" s="6" t="s">
        <v>19</v>
      </c>
      <c r="E41" s="6" t="s">
        <v>282</v>
      </c>
      <c r="F41" s="41">
        <f>4.5+10+10</f>
        <v>24.5</v>
      </c>
      <c r="G41" s="6"/>
      <c r="H41" s="6"/>
    </row>
    <row r="42" spans="1:8" x14ac:dyDescent="0.4">
      <c r="A42" s="5"/>
      <c r="B42" s="6"/>
      <c r="C42" s="6" t="s">
        <v>15</v>
      </c>
      <c r="D42" s="6" t="s">
        <v>17</v>
      </c>
      <c r="E42" s="6">
        <v>9</v>
      </c>
      <c r="F42" s="41">
        <v>9</v>
      </c>
      <c r="G42" s="6"/>
      <c r="H42" s="6"/>
    </row>
    <row r="43" spans="1:8" x14ac:dyDescent="0.4">
      <c r="A43" s="5">
        <v>45499</v>
      </c>
      <c r="B43" s="6" t="s">
        <v>24</v>
      </c>
      <c r="C43" s="6" t="s">
        <v>15</v>
      </c>
      <c r="D43" s="6" t="s">
        <v>17</v>
      </c>
      <c r="E43" s="6" t="s">
        <v>283</v>
      </c>
      <c r="F43" s="41">
        <f>11+16.55</f>
        <v>27.55</v>
      </c>
      <c r="G43" s="6"/>
      <c r="H43" s="6"/>
    </row>
    <row r="44" spans="1:8" x14ac:dyDescent="0.4">
      <c r="A44" s="5">
        <v>45500</v>
      </c>
      <c r="B44" s="6" t="s">
        <v>29</v>
      </c>
      <c r="C44" s="6" t="s">
        <v>15</v>
      </c>
      <c r="D44" s="6" t="s">
        <v>19</v>
      </c>
      <c r="E44" s="6">
        <v>15</v>
      </c>
      <c r="F44" s="41">
        <v>15</v>
      </c>
      <c r="G44" s="6"/>
      <c r="H44" s="6"/>
    </row>
    <row r="45" spans="1:8" x14ac:dyDescent="0.4">
      <c r="A45" s="5"/>
      <c r="B45" s="6"/>
      <c r="C45" s="6" t="s">
        <v>15</v>
      </c>
      <c r="D45" s="6" t="s">
        <v>17</v>
      </c>
      <c r="E45" s="6" t="s">
        <v>18</v>
      </c>
      <c r="F45" s="41">
        <v>8</v>
      </c>
      <c r="G45" s="6"/>
      <c r="H45" s="6"/>
    </row>
    <row r="46" spans="1:8" x14ac:dyDescent="0.4">
      <c r="A46" s="5">
        <v>45501</v>
      </c>
      <c r="B46" s="6" t="s">
        <v>31</v>
      </c>
      <c r="C46" s="6" t="s">
        <v>15</v>
      </c>
      <c r="D46" s="6" t="s">
        <v>17</v>
      </c>
      <c r="E46" s="6" t="s">
        <v>284</v>
      </c>
      <c r="F46" s="41">
        <v>40</v>
      </c>
      <c r="G46" s="6"/>
      <c r="H46" s="6"/>
    </row>
    <row r="47" spans="1:8" x14ac:dyDescent="0.4">
      <c r="A47" s="5">
        <v>45502</v>
      </c>
      <c r="B47" s="6" t="s">
        <v>33</v>
      </c>
      <c r="C47" s="6" t="s">
        <v>15</v>
      </c>
      <c r="D47" s="6" t="s">
        <v>17</v>
      </c>
      <c r="E47" s="6" t="s">
        <v>18</v>
      </c>
      <c r="F47" s="41">
        <v>8</v>
      </c>
      <c r="G47" s="6"/>
      <c r="H47" s="6"/>
    </row>
    <row r="48" spans="1:8" x14ac:dyDescent="0.4">
      <c r="A48" s="5"/>
      <c r="B48" s="6"/>
      <c r="C48" s="6" t="s">
        <v>15</v>
      </c>
      <c r="D48" s="6" t="s">
        <v>17</v>
      </c>
      <c r="E48" s="6" t="s">
        <v>213</v>
      </c>
      <c r="F48" s="41">
        <v>0.5</v>
      </c>
      <c r="G48" s="6"/>
      <c r="H48" s="6"/>
    </row>
    <row r="49" spans="1:8" x14ac:dyDescent="0.4">
      <c r="A49" s="5"/>
      <c r="B49" s="6"/>
      <c r="C49" s="6" t="s">
        <v>15</v>
      </c>
      <c r="D49" s="6" t="s">
        <v>19</v>
      </c>
      <c r="E49" s="6">
        <v>10</v>
      </c>
      <c r="F49" s="41">
        <v>10</v>
      </c>
      <c r="G49" s="6"/>
      <c r="H49" s="6"/>
    </row>
    <row r="50" spans="1:8" x14ac:dyDescent="0.4">
      <c r="A50" s="5">
        <v>45503</v>
      </c>
      <c r="B50" s="6" t="s">
        <v>20</v>
      </c>
      <c r="C50" s="6" t="s">
        <v>15</v>
      </c>
      <c r="D50" s="6" t="s">
        <v>19</v>
      </c>
      <c r="E50" s="6" t="s">
        <v>285</v>
      </c>
      <c r="F50" s="41">
        <f>4+12+15</f>
        <v>31</v>
      </c>
      <c r="G50" s="6"/>
      <c r="H50" s="6"/>
    </row>
    <row r="51" spans="1:8" x14ac:dyDescent="0.4">
      <c r="A51" s="5">
        <v>45504</v>
      </c>
      <c r="B51" s="6" t="s">
        <v>22</v>
      </c>
      <c r="C51" s="6" t="s">
        <v>15</v>
      </c>
      <c r="D51" s="6" t="s">
        <v>19</v>
      </c>
      <c r="E51" s="6" t="s">
        <v>286</v>
      </c>
      <c r="F51" s="41">
        <f>4.5+8.5+9+9</f>
        <v>31</v>
      </c>
      <c r="G51" s="6"/>
      <c r="H51" s="6"/>
    </row>
    <row r="52" spans="1:8" x14ac:dyDescent="0.4">
      <c r="A52" s="5"/>
      <c r="B52" s="6"/>
      <c r="C52" s="6" t="s">
        <v>15</v>
      </c>
      <c r="D52" s="6" t="s">
        <v>19</v>
      </c>
      <c r="E52" s="6">
        <v>8.68</v>
      </c>
      <c r="F52" s="41">
        <v>8.68</v>
      </c>
      <c r="G52" s="6"/>
      <c r="H52" s="6"/>
    </row>
    <row r="53" spans="1:8" x14ac:dyDescent="0.4">
      <c r="A53" s="5"/>
      <c r="B53" s="6"/>
      <c r="C53" s="6" t="s">
        <v>15</v>
      </c>
      <c r="D53" s="6" t="s">
        <v>17</v>
      </c>
      <c r="E53" s="6" t="s">
        <v>287</v>
      </c>
      <c r="F53" s="41">
        <v>9.89</v>
      </c>
      <c r="G53" s="6"/>
      <c r="H53" s="6"/>
    </row>
    <row r="54" spans="1:8" x14ac:dyDescent="0.4">
      <c r="A54" s="5"/>
      <c r="B54" s="6"/>
      <c r="C54" s="6" t="s">
        <v>15</v>
      </c>
      <c r="D54" s="6" t="s">
        <v>10</v>
      </c>
      <c r="E54" s="6" t="s">
        <v>288</v>
      </c>
      <c r="F54" s="41">
        <v>8550</v>
      </c>
      <c r="G54" s="41"/>
      <c r="H54" s="6"/>
    </row>
    <row r="55" spans="1:8" x14ac:dyDescent="0.4">
      <c r="A55" s="5"/>
      <c r="B55" s="6"/>
      <c r="C55" s="6" t="s">
        <v>15</v>
      </c>
      <c r="D55" s="6" t="s">
        <v>17</v>
      </c>
      <c r="E55" s="6" t="s">
        <v>289</v>
      </c>
      <c r="F55" s="41">
        <v>34.83</v>
      </c>
      <c r="G55" s="6"/>
      <c r="H55" s="6">
        <v>10548.58</v>
      </c>
    </row>
    <row r="56" spans="1:8" x14ac:dyDescent="0.4">
      <c r="A56" s="5"/>
      <c r="B56" s="6"/>
      <c r="C56" s="6" t="s">
        <v>15</v>
      </c>
      <c r="D56" s="6"/>
      <c r="E56" s="6"/>
      <c r="F56" s="41"/>
      <c r="G56" s="6"/>
      <c r="H56" s="41">
        <f>SUM(F4:F55)</f>
        <v>9875.9600000000009</v>
      </c>
    </row>
    <row r="57" spans="1:8" x14ac:dyDescent="0.4">
      <c r="A57" s="5"/>
      <c r="B57" s="6"/>
      <c r="C57" s="6" t="s">
        <v>15</v>
      </c>
      <c r="D57" s="6"/>
      <c r="E57" s="6"/>
      <c r="F57" s="41"/>
      <c r="G57" s="6"/>
      <c r="H57" s="6"/>
    </row>
    <row r="58" spans="1:8" x14ac:dyDescent="0.4">
      <c r="A58" s="5"/>
      <c r="B58" s="6"/>
      <c r="C58" s="6" t="s">
        <v>15</v>
      </c>
      <c r="D58" s="6"/>
      <c r="E58" s="6"/>
      <c r="F58" s="41"/>
      <c r="G58" s="6"/>
      <c r="H58" s="6"/>
    </row>
    <row r="59" spans="1:8" x14ac:dyDescent="0.4">
      <c r="A59" s="5"/>
      <c r="B59" s="6"/>
      <c r="C59" s="6" t="s">
        <v>15</v>
      </c>
      <c r="D59" s="6"/>
      <c r="E59" s="6"/>
      <c r="F59" s="41"/>
      <c r="G59" s="6"/>
      <c r="H59" s="6"/>
    </row>
    <row r="60" spans="1:8" x14ac:dyDescent="0.4">
      <c r="A60" s="5"/>
      <c r="B60" s="6"/>
      <c r="C60" s="6" t="s">
        <v>15</v>
      </c>
      <c r="D60" s="6"/>
      <c r="E60" s="6"/>
      <c r="F60" s="41"/>
      <c r="G60" s="6"/>
      <c r="H60" s="6"/>
    </row>
    <row r="61" spans="1:8" x14ac:dyDescent="0.4">
      <c r="A61" s="5"/>
      <c r="B61" s="6"/>
      <c r="C61" s="6" t="s">
        <v>15</v>
      </c>
      <c r="D61" s="6"/>
      <c r="E61" s="6"/>
      <c r="F61" s="41"/>
      <c r="G61" s="6"/>
      <c r="H61" s="6"/>
    </row>
    <row r="62" spans="1:8" x14ac:dyDescent="0.4">
      <c r="A62" s="5"/>
      <c r="B62" s="6"/>
      <c r="C62" s="6" t="s">
        <v>15</v>
      </c>
      <c r="D62" s="6"/>
      <c r="E62" s="6"/>
      <c r="F62" s="41"/>
      <c r="G62" s="6"/>
      <c r="H62" s="6"/>
    </row>
    <row r="63" spans="1:8" x14ac:dyDescent="0.4">
      <c r="A63" s="5"/>
      <c r="B63" s="6"/>
      <c r="C63" s="6" t="s">
        <v>15</v>
      </c>
      <c r="D63" s="6"/>
      <c r="E63" s="6"/>
      <c r="F63" s="41"/>
      <c r="G63" s="6"/>
      <c r="H63" s="6"/>
    </row>
    <row r="64" spans="1:8" x14ac:dyDescent="0.4">
      <c r="A64" s="5"/>
      <c r="B64" s="6"/>
      <c r="C64" s="6" t="s">
        <v>15</v>
      </c>
      <c r="D64" s="6"/>
      <c r="E64" s="6"/>
      <c r="F64" s="41"/>
      <c r="G64" s="6"/>
      <c r="H64" s="6"/>
    </row>
    <row r="65" spans="1:8" x14ac:dyDescent="0.4">
      <c r="A65" s="5"/>
      <c r="B65" s="6"/>
      <c r="C65" s="6" t="s">
        <v>15</v>
      </c>
      <c r="D65" s="6"/>
      <c r="E65" s="6"/>
      <c r="F65" s="41"/>
      <c r="G65" s="6"/>
      <c r="H65" s="6"/>
    </row>
    <row r="66" spans="1:8" x14ac:dyDescent="0.4">
      <c r="A66" s="5"/>
      <c r="B66" s="6"/>
      <c r="C66" s="6" t="s">
        <v>15</v>
      </c>
      <c r="D66" s="6"/>
      <c r="E66" s="6"/>
      <c r="F66" s="41"/>
      <c r="G66" s="6"/>
      <c r="H66" s="6"/>
    </row>
    <row r="67" spans="1:8" x14ac:dyDescent="0.4">
      <c r="A67" s="5"/>
      <c r="B67" s="6"/>
      <c r="C67" s="6" t="s">
        <v>15</v>
      </c>
      <c r="D67" s="6"/>
      <c r="E67" s="6"/>
      <c r="F67" s="41"/>
      <c r="G67" s="6"/>
      <c r="H67" s="6"/>
    </row>
    <row r="68" spans="1:8" x14ac:dyDescent="0.4">
      <c r="A68" s="5"/>
      <c r="B68" s="6"/>
      <c r="C68" s="6" t="s">
        <v>15</v>
      </c>
      <c r="D68" s="6"/>
      <c r="E68" s="6"/>
      <c r="F68" s="41"/>
      <c r="G68" s="6"/>
      <c r="H68" s="6"/>
    </row>
    <row r="69" spans="1:8" x14ac:dyDescent="0.4">
      <c r="A69" s="5"/>
      <c r="B69" s="6"/>
      <c r="C69" s="6" t="s">
        <v>15</v>
      </c>
      <c r="D69" s="6"/>
      <c r="E69" s="6"/>
      <c r="F69" s="41"/>
      <c r="G69" s="6"/>
      <c r="H69" s="6"/>
    </row>
    <row r="70" spans="1:8" x14ac:dyDescent="0.4">
      <c r="A70" s="5"/>
      <c r="B70" s="6"/>
      <c r="C70" s="6" t="s">
        <v>15</v>
      </c>
      <c r="D70" s="6"/>
      <c r="E70" s="6"/>
      <c r="F70" s="41"/>
      <c r="G70" s="6"/>
      <c r="H70" s="6"/>
    </row>
    <row r="71" spans="1:8" x14ac:dyDescent="0.4">
      <c r="A71" s="5"/>
      <c r="B71" s="6"/>
      <c r="C71" s="6" t="s">
        <v>15</v>
      </c>
      <c r="D71" s="6"/>
      <c r="E71" s="6"/>
      <c r="F71" s="41"/>
      <c r="G71" s="6"/>
      <c r="H71" s="6"/>
    </row>
    <row r="72" spans="1:8" x14ac:dyDescent="0.4">
      <c r="A72" s="5"/>
      <c r="B72" s="6"/>
      <c r="C72" s="6" t="s">
        <v>15</v>
      </c>
      <c r="D72" s="6"/>
      <c r="E72" s="6"/>
      <c r="F72" s="41"/>
      <c r="G72" s="6"/>
      <c r="H72" s="6"/>
    </row>
    <row r="73" spans="1:8" x14ac:dyDescent="0.4">
      <c r="A73" s="5"/>
      <c r="B73" s="6"/>
      <c r="C73" s="6" t="s">
        <v>15</v>
      </c>
      <c r="D73" s="6"/>
      <c r="E73" s="6"/>
      <c r="F73" s="41"/>
      <c r="G73" s="6"/>
      <c r="H73" s="6"/>
    </row>
    <row r="74" spans="1:8" x14ac:dyDescent="0.4">
      <c r="A74" s="5"/>
      <c r="B74" s="6"/>
      <c r="C74" s="6" t="s">
        <v>15</v>
      </c>
      <c r="D74" s="6"/>
      <c r="E74" s="6"/>
      <c r="F74" s="41"/>
      <c r="G74" s="6"/>
      <c r="H74" s="6"/>
    </row>
    <row r="75" spans="1:8" x14ac:dyDescent="0.4">
      <c r="A75" s="5"/>
      <c r="B75" s="6"/>
      <c r="C75" s="6"/>
      <c r="D75" s="6"/>
      <c r="E75" s="6"/>
      <c r="F75" s="41"/>
      <c r="G75" s="6"/>
      <c r="H75" s="6"/>
    </row>
    <row r="76" spans="1:8" x14ac:dyDescent="0.4">
      <c r="A76" s="5"/>
      <c r="B76" s="6"/>
      <c r="C76" s="6"/>
      <c r="D76" s="6"/>
      <c r="E76" s="6"/>
      <c r="F76" s="41"/>
      <c r="G76" s="6"/>
      <c r="H76" s="6"/>
    </row>
  </sheetData>
  <protectedRanges>
    <protectedRange sqref="A4:H76" name="编辑区"/>
  </protectedRanges>
  <mergeCells count="2">
    <mergeCell ref="A1:B2"/>
    <mergeCell ref="C1:H2"/>
  </mergeCells>
  <phoneticPr fontId="1" type="noConversion"/>
  <dataValidations count="3">
    <dataValidation type="list" allowBlank="1" showInputMessage="1" showErrorMessage="1" sqref="D3:D76" xr:uid="{D1C4687F-641D-4B4E-AEC6-8CAD2B22A8A6}">
      <formula1>"饮食,学习,生活,外务,增值,特别立项"</formula1>
    </dataValidation>
    <dataValidation type="list" allowBlank="1" showInputMessage="1" showErrorMessage="1" sqref="C3:C76" xr:uid="{4F7C9AE9-0979-4EC9-9ACA-7EDBDE9EAE64}">
      <formula1>"收,支"</formula1>
    </dataValidation>
    <dataValidation type="list" allowBlank="1" showInputMessage="1" showErrorMessage="1" sqref="B4" xr:uid="{ACA8D508-A362-4DDA-88C4-A1592725E581}">
      <formula1>"MO,TU,WE,TH,FR,SA,SU"</formula1>
    </dataValidation>
  </dataValidations>
  <hyperlinks>
    <hyperlink ref="A1:B2" location="主页!A1" display="返回主页" xr:uid="{8DEA4798-D2CC-4EA5-A399-4A626F30D3FE}"/>
    <hyperlink ref="C1:H2" location="Sheet48最后数!A1" display="2024年7月综合财报" xr:uid="{FFE5FD87-4776-46A3-A815-45E3C734D21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421B-29D0-41A0-83F0-F8000735CBD9}">
  <dimension ref="A3:B10"/>
  <sheetViews>
    <sheetView workbookViewId="0">
      <selection activeCell="A3" sqref="A3:B10"/>
    </sheetView>
  </sheetViews>
  <sheetFormatPr defaultRowHeight="13.9" x14ac:dyDescent="0.4"/>
  <cols>
    <col min="2" max="2" width="11.265625" bestFit="1" customWidth="1"/>
  </cols>
  <sheetData>
    <row r="3" spans="1:2" x14ac:dyDescent="0.4">
      <c r="A3" s="68" t="s">
        <v>55</v>
      </c>
      <c r="B3" t="s">
        <v>57</v>
      </c>
    </row>
    <row r="4" spans="1:2" x14ac:dyDescent="0.4">
      <c r="A4" s="69" t="s">
        <v>17</v>
      </c>
      <c r="B4">
        <v>1413.6999999999998</v>
      </c>
    </row>
    <row r="5" spans="1:2" x14ac:dyDescent="0.4">
      <c r="A5" s="69" t="s">
        <v>44</v>
      </c>
      <c r="B5">
        <v>1116.1600000000001</v>
      </c>
    </row>
    <row r="6" spans="1:2" x14ac:dyDescent="0.4">
      <c r="A6" s="69" t="s">
        <v>13</v>
      </c>
      <c r="B6">
        <v>263</v>
      </c>
    </row>
    <row r="7" spans="1:2" x14ac:dyDescent="0.4">
      <c r="A7" s="69" t="s">
        <v>10</v>
      </c>
      <c r="B7">
        <v>92.76</v>
      </c>
    </row>
    <row r="8" spans="1:2" x14ac:dyDescent="0.4">
      <c r="A8" s="69" t="s">
        <v>19</v>
      </c>
      <c r="B8">
        <v>567.26</v>
      </c>
    </row>
    <row r="9" spans="1:2" x14ac:dyDescent="0.4">
      <c r="A9" s="69" t="s">
        <v>290</v>
      </c>
    </row>
    <row r="10" spans="1:2" x14ac:dyDescent="0.4">
      <c r="A10" s="69" t="s">
        <v>56</v>
      </c>
      <c r="B10">
        <v>3452.88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96FC-B2E8-424A-9EB6-1D624FE1E64E}">
  <sheetPr codeName="Sheet8"/>
  <dimension ref="A1:H76"/>
  <sheetViews>
    <sheetView workbookViewId="0">
      <selection sqref="A1:B2"/>
    </sheetView>
  </sheetViews>
  <sheetFormatPr defaultRowHeight="13.9" x14ac:dyDescent="0.4"/>
  <cols>
    <col min="1" max="1" width="9.53125" bestFit="1" customWidth="1"/>
    <col min="5" max="5" width="40" customWidth="1"/>
    <col min="6" max="7" width="9.3984375" style="42" bestFit="1" customWidth="1"/>
  </cols>
  <sheetData>
    <row r="1" spans="1:8" x14ac:dyDescent="0.4">
      <c r="A1" s="78" t="s">
        <v>1</v>
      </c>
      <c r="B1" s="78"/>
      <c r="C1" s="97" t="s">
        <v>291</v>
      </c>
      <c r="D1" s="97"/>
      <c r="E1" s="97"/>
      <c r="F1" s="97"/>
      <c r="G1" s="97"/>
      <c r="H1" s="97"/>
    </row>
    <row r="2" spans="1:8" x14ac:dyDescent="0.4">
      <c r="A2" s="78"/>
      <c r="B2" s="78"/>
      <c r="C2" s="97"/>
      <c r="D2" s="97"/>
      <c r="E2" s="97"/>
      <c r="F2" s="97"/>
      <c r="G2" s="97"/>
      <c r="H2" s="97"/>
    </row>
    <row r="3" spans="1:8" x14ac:dyDescent="0.4">
      <c r="A3" s="5" t="s">
        <v>0</v>
      </c>
      <c r="B3" s="6" t="s">
        <v>3</v>
      </c>
      <c r="C3" s="6" t="s">
        <v>5</v>
      </c>
      <c r="D3" s="6" t="s">
        <v>4</v>
      </c>
      <c r="E3" s="6" t="s">
        <v>6</v>
      </c>
      <c r="F3" s="41" t="s">
        <v>7</v>
      </c>
      <c r="G3" s="41" t="s">
        <v>8</v>
      </c>
      <c r="H3" s="6" t="s">
        <v>9</v>
      </c>
    </row>
    <row r="4" spans="1:8" x14ac:dyDescent="0.4">
      <c r="A4" s="5">
        <v>45505</v>
      </c>
      <c r="B4" s="6" t="s">
        <v>59</v>
      </c>
      <c r="C4" s="6" t="s">
        <v>15</v>
      </c>
      <c r="D4" s="6" t="s">
        <v>19</v>
      </c>
      <c r="E4" s="6" t="s">
        <v>292</v>
      </c>
      <c r="F4" s="41">
        <f>14+17</f>
        <v>31</v>
      </c>
      <c r="G4" s="41"/>
      <c r="H4" s="6"/>
    </row>
    <row r="5" spans="1:8" x14ac:dyDescent="0.4">
      <c r="A5" s="5">
        <v>45506</v>
      </c>
      <c r="B5" s="6" t="s">
        <v>24</v>
      </c>
      <c r="C5" s="6" t="s">
        <v>15</v>
      </c>
      <c r="D5" s="6" t="s">
        <v>19</v>
      </c>
      <c r="E5" s="6" t="s">
        <v>293</v>
      </c>
      <c r="F5" s="41">
        <f>4.5+12</f>
        <v>16.5</v>
      </c>
      <c r="G5" s="41"/>
      <c r="H5" s="6"/>
    </row>
    <row r="6" spans="1:8" x14ac:dyDescent="0.4">
      <c r="A6" s="5"/>
      <c r="B6" s="6"/>
      <c r="C6" s="6" t="s">
        <v>15</v>
      </c>
      <c r="D6" s="6" t="s">
        <v>17</v>
      </c>
      <c r="E6" s="6" t="s">
        <v>18</v>
      </c>
      <c r="F6" s="41">
        <f>8</f>
        <v>8</v>
      </c>
      <c r="G6" s="41"/>
      <c r="H6" s="6"/>
    </row>
    <row r="7" spans="1:8" x14ac:dyDescent="0.4">
      <c r="A7" s="5"/>
      <c r="B7" s="6"/>
      <c r="C7" s="6" t="s">
        <v>15</v>
      </c>
      <c r="D7" s="6" t="s">
        <v>17</v>
      </c>
      <c r="E7" s="6" t="s">
        <v>294</v>
      </c>
      <c r="F7" s="41">
        <v>20</v>
      </c>
      <c r="G7" s="41"/>
      <c r="H7" s="6"/>
    </row>
    <row r="8" spans="1:8" x14ac:dyDescent="0.4">
      <c r="A8" s="5">
        <v>45507</v>
      </c>
      <c r="B8" s="6" t="s">
        <v>29</v>
      </c>
      <c r="C8" s="6" t="s">
        <v>15</v>
      </c>
      <c r="D8" s="6" t="s">
        <v>17</v>
      </c>
      <c r="E8" s="6" t="s">
        <v>294</v>
      </c>
      <c r="F8" s="41">
        <v>20</v>
      </c>
      <c r="G8" s="41"/>
      <c r="H8" s="6"/>
    </row>
    <row r="9" spans="1:8" x14ac:dyDescent="0.4">
      <c r="A9" s="5">
        <v>45509</v>
      </c>
      <c r="B9" s="6" t="s">
        <v>33</v>
      </c>
      <c r="C9" s="6" t="s">
        <v>15</v>
      </c>
      <c r="D9" s="6" t="s">
        <v>19</v>
      </c>
      <c r="E9" s="6" t="s">
        <v>295</v>
      </c>
      <c r="F9" s="41">
        <f>13+12</f>
        <v>25</v>
      </c>
      <c r="G9" s="41"/>
      <c r="H9" s="6"/>
    </row>
    <row r="10" spans="1:8" x14ac:dyDescent="0.4">
      <c r="A10" s="5"/>
      <c r="B10" s="6"/>
      <c r="C10" s="6" t="s">
        <v>15</v>
      </c>
      <c r="D10" s="6" t="s">
        <v>17</v>
      </c>
      <c r="E10" s="6" t="s">
        <v>18</v>
      </c>
      <c r="F10" s="41">
        <v>7</v>
      </c>
      <c r="G10" s="41"/>
      <c r="H10" s="6"/>
    </row>
    <row r="11" spans="1:8" x14ac:dyDescent="0.4">
      <c r="A11" s="5">
        <v>45510</v>
      </c>
      <c r="B11" s="6" t="s">
        <v>20</v>
      </c>
      <c r="C11" s="6" t="s">
        <v>15</v>
      </c>
      <c r="D11" s="6" t="s">
        <v>19</v>
      </c>
      <c r="E11" s="6" t="s">
        <v>262</v>
      </c>
      <c r="F11" s="41">
        <f>4.5+13+12</f>
        <v>29.5</v>
      </c>
      <c r="G11" s="41"/>
      <c r="H11" s="6"/>
    </row>
    <row r="12" spans="1:8" x14ac:dyDescent="0.4">
      <c r="A12" s="5"/>
      <c r="B12" s="6"/>
      <c r="C12" s="6" t="s">
        <v>15</v>
      </c>
      <c r="D12" s="6" t="s">
        <v>17</v>
      </c>
      <c r="E12" s="6" t="s">
        <v>269</v>
      </c>
      <c r="F12" s="41">
        <v>20</v>
      </c>
      <c r="G12" s="41"/>
      <c r="H12" s="6"/>
    </row>
    <row r="13" spans="1:8" x14ac:dyDescent="0.4">
      <c r="A13" s="5">
        <v>45511</v>
      </c>
      <c r="B13" s="6" t="s">
        <v>22</v>
      </c>
      <c r="C13" s="6" t="s">
        <v>15</v>
      </c>
      <c r="D13" s="6" t="s">
        <v>19</v>
      </c>
      <c r="E13" s="6" t="s">
        <v>296</v>
      </c>
      <c r="F13" s="41">
        <f>4.5+12+9</f>
        <v>25.5</v>
      </c>
      <c r="G13" s="41"/>
      <c r="H13" s="6"/>
    </row>
    <row r="14" spans="1:8" x14ac:dyDescent="0.4">
      <c r="A14" s="5">
        <v>45512</v>
      </c>
      <c r="B14" s="6" t="s">
        <v>23</v>
      </c>
      <c r="C14" s="6" t="s">
        <v>15</v>
      </c>
      <c r="D14" s="6" t="s">
        <v>19</v>
      </c>
      <c r="E14" s="6" t="s">
        <v>297</v>
      </c>
      <c r="F14" s="41">
        <f>4.5+8.5+19</f>
        <v>32</v>
      </c>
      <c r="G14" s="41"/>
      <c r="H14" s="6"/>
    </row>
    <row r="15" spans="1:8" x14ac:dyDescent="0.4">
      <c r="A15" s="5">
        <v>45513</v>
      </c>
      <c r="B15" s="6" t="s">
        <v>24</v>
      </c>
      <c r="C15" s="6" t="s">
        <v>15</v>
      </c>
      <c r="D15" s="6" t="s">
        <v>19</v>
      </c>
      <c r="E15" s="6" t="s">
        <v>298</v>
      </c>
      <c r="F15" s="41">
        <f>4.5+8.5+11.5</f>
        <v>24.5</v>
      </c>
      <c r="G15" s="41"/>
      <c r="H15" s="6"/>
    </row>
    <row r="16" spans="1:8" x14ac:dyDescent="0.4">
      <c r="A16" s="5">
        <v>45514</v>
      </c>
      <c r="B16" s="6" t="s">
        <v>29</v>
      </c>
      <c r="C16" s="6" t="s">
        <v>15</v>
      </c>
      <c r="D16" s="6" t="s">
        <v>19</v>
      </c>
      <c r="E16" s="6" t="s">
        <v>299</v>
      </c>
      <c r="F16" s="41">
        <f>4.5+12+8</f>
        <v>24.5</v>
      </c>
      <c r="G16" s="41"/>
      <c r="H16" s="6"/>
    </row>
    <row r="17" spans="1:8" x14ac:dyDescent="0.4">
      <c r="A17" s="5">
        <v>45515</v>
      </c>
      <c r="B17" s="6" t="s">
        <v>31</v>
      </c>
      <c r="C17" s="6" t="s">
        <v>15</v>
      </c>
      <c r="D17" s="6" t="s">
        <v>17</v>
      </c>
      <c r="E17" s="6" t="s">
        <v>300</v>
      </c>
      <c r="F17" s="41">
        <v>5</v>
      </c>
      <c r="G17" s="41"/>
      <c r="H17" s="6"/>
    </row>
    <row r="18" spans="1:8" x14ac:dyDescent="0.4">
      <c r="A18" s="5">
        <v>45516</v>
      </c>
      <c r="B18" s="6" t="s">
        <v>33</v>
      </c>
      <c r="C18" s="6" t="s">
        <v>15</v>
      </c>
      <c r="D18" s="6" t="s">
        <v>17</v>
      </c>
      <c r="E18" s="6" t="s">
        <v>18</v>
      </c>
      <c r="F18" s="41">
        <v>8</v>
      </c>
      <c r="G18" s="41"/>
      <c r="H18" s="6"/>
    </row>
    <row r="19" spans="1:8" x14ac:dyDescent="0.4">
      <c r="A19" s="5">
        <v>45517</v>
      </c>
      <c r="B19" s="6" t="s">
        <v>20</v>
      </c>
      <c r="C19" s="6" t="s">
        <v>15</v>
      </c>
      <c r="D19" s="6" t="s">
        <v>19</v>
      </c>
      <c r="E19" s="6" t="s">
        <v>273</v>
      </c>
      <c r="F19" s="41">
        <f>4.5+12+10</f>
        <v>26.5</v>
      </c>
      <c r="G19" s="41"/>
      <c r="H19" s="6"/>
    </row>
    <row r="20" spans="1:8" x14ac:dyDescent="0.4">
      <c r="A20" s="5">
        <v>45518</v>
      </c>
      <c r="B20" s="6" t="s">
        <v>22</v>
      </c>
      <c r="C20" s="6" t="s">
        <v>15</v>
      </c>
      <c r="D20" s="6" t="s">
        <v>19</v>
      </c>
      <c r="E20" s="6" t="s">
        <v>301</v>
      </c>
      <c r="F20" s="41">
        <f>4.5+5+8.5+12</f>
        <v>30</v>
      </c>
      <c r="G20" s="41"/>
      <c r="H20" s="6"/>
    </row>
    <row r="21" spans="1:8" x14ac:dyDescent="0.4">
      <c r="A21" s="5">
        <v>45519</v>
      </c>
      <c r="B21" s="6" t="s">
        <v>23</v>
      </c>
      <c r="C21" s="6" t="s">
        <v>15</v>
      </c>
      <c r="D21" s="6" t="s">
        <v>19</v>
      </c>
      <c r="E21" s="6" t="s">
        <v>302</v>
      </c>
      <c r="F21" s="41">
        <f>5+9.5+10</f>
        <v>24.5</v>
      </c>
      <c r="G21" s="41"/>
      <c r="H21" s="6"/>
    </row>
    <row r="22" spans="1:8" x14ac:dyDescent="0.4">
      <c r="A22" s="5">
        <v>45520</v>
      </c>
      <c r="B22" s="6" t="s">
        <v>24</v>
      </c>
      <c r="C22" s="6" t="s">
        <v>15</v>
      </c>
      <c r="D22" s="6" t="s">
        <v>19</v>
      </c>
      <c r="E22" s="6" t="s">
        <v>303</v>
      </c>
      <c r="F22" s="41">
        <f>4+0.5+14+10</f>
        <v>28.5</v>
      </c>
      <c r="G22" s="41"/>
      <c r="H22" s="6"/>
    </row>
    <row r="23" spans="1:8" x14ac:dyDescent="0.4">
      <c r="A23" s="5"/>
      <c r="B23" s="6"/>
      <c r="C23" s="6" t="s">
        <v>15</v>
      </c>
      <c r="D23" s="6" t="s">
        <v>17</v>
      </c>
      <c r="E23" s="6" t="s">
        <v>269</v>
      </c>
      <c r="F23" s="41">
        <v>5</v>
      </c>
      <c r="G23" s="41"/>
      <c r="H23" s="6"/>
    </row>
    <row r="24" spans="1:8" x14ac:dyDescent="0.4">
      <c r="A24" s="5">
        <v>45521</v>
      </c>
      <c r="B24" s="6" t="s">
        <v>29</v>
      </c>
      <c r="C24" s="6" t="s">
        <v>15</v>
      </c>
      <c r="D24" s="6" t="s">
        <v>19</v>
      </c>
      <c r="E24" s="6">
        <v>13</v>
      </c>
      <c r="F24" s="41">
        <v>13</v>
      </c>
      <c r="G24" s="41"/>
      <c r="H24" s="6"/>
    </row>
    <row r="25" spans="1:8" x14ac:dyDescent="0.4">
      <c r="A25" s="5"/>
      <c r="B25" s="6"/>
      <c r="C25" s="6" t="s">
        <v>15</v>
      </c>
      <c r="D25" s="6" t="s">
        <v>17</v>
      </c>
      <c r="E25" s="6" t="s">
        <v>18</v>
      </c>
      <c r="F25" s="41">
        <v>8</v>
      </c>
      <c r="G25" s="41"/>
      <c r="H25" s="6"/>
    </row>
    <row r="26" spans="1:8" x14ac:dyDescent="0.4">
      <c r="A26" s="5">
        <v>45522</v>
      </c>
      <c r="B26" s="6" t="s">
        <v>31</v>
      </c>
      <c r="C26" s="6" t="s">
        <v>15</v>
      </c>
      <c r="D26" s="6" t="s">
        <v>17</v>
      </c>
      <c r="E26" s="6">
        <v>5.9</v>
      </c>
      <c r="F26" s="41">
        <v>5.9</v>
      </c>
      <c r="G26" s="41"/>
      <c r="H26" s="6"/>
    </row>
    <row r="27" spans="1:8" x14ac:dyDescent="0.4">
      <c r="A27" s="5"/>
      <c r="B27" s="6"/>
      <c r="C27" s="6"/>
      <c r="D27" s="6" t="s">
        <v>17</v>
      </c>
      <c r="E27" s="6" t="s">
        <v>304</v>
      </c>
      <c r="F27" s="41">
        <v>159</v>
      </c>
      <c r="G27" s="41">
        <v>400</v>
      </c>
      <c r="H27" s="6"/>
    </row>
    <row r="28" spans="1:8" x14ac:dyDescent="0.4">
      <c r="A28" s="5">
        <v>45523</v>
      </c>
      <c r="B28" s="6" t="s">
        <v>33</v>
      </c>
      <c r="C28" s="6" t="s">
        <v>15</v>
      </c>
      <c r="D28" s="6" t="s">
        <v>17</v>
      </c>
      <c r="E28" s="6" t="s">
        <v>18</v>
      </c>
      <c r="F28" s="41">
        <f>4+159+4+2.5</f>
        <v>169.5</v>
      </c>
      <c r="G28" s="41">
        <v>2000</v>
      </c>
      <c r="H28" s="6"/>
    </row>
    <row r="29" spans="1:8" x14ac:dyDescent="0.4">
      <c r="A29" s="5">
        <v>45524</v>
      </c>
      <c r="B29" s="6" t="s">
        <v>20</v>
      </c>
      <c r="C29" s="6" t="s">
        <v>15</v>
      </c>
      <c r="D29" s="6" t="s">
        <v>17</v>
      </c>
      <c r="E29" s="6" t="s">
        <v>18</v>
      </c>
      <c r="F29" s="41">
        <f>2+5+4+2</f>
        <v>13</v>
      </c>
      <c r="G29" s="41"/>
      <c r="H29" s="6"/>
    </row>
    <row r="30" spans="1:8" x14ac:dyDescent="0.4">
      <c r="A30" s="5">
        <v>45525</v>
      </c>
      <c r="B30" s="6" t="s">
        <v>22</v>
      </c>
      <c r="C30" s="6" t="s">
        <v>15</v>
      </c>
      <c r="D30" s="6" t="s">
        <v>17</v>
      </c>
      <c r="E30" s="6" t="s">
        <v>305</v>
      </c>
      <c r="F30" s="41">
        <f>196.92+0.3</f>
        <v>197.22</v>
      </c>
      <c r="G30" s="41"/>
      <c r="H30" s="6"/>
    </row>
    <row r="31" spans="1:8" x14ac:dyDescent="0.4">
      <c r="A31" s="5">
        <v>45526</v>
      </c>
      <c r="B31" s="6" t="s">
        <v>23</v>
      </c>
      <c r="C31" s="6" t="s">
        <v>15</v>
      </c>
      <c r="D31" s="6" t="s">
        <v>17</v>
      </c>
      <c r="E31" s="6" t="s">
        <v>305</v>
      </c>
      <c r="F31" s="41">
        <f>20+39</f>
        <v>59</v>
      </c>
      <c r="G31" s="41"/>
      <c r="H31" s="6"/>
    </row>
    <row r="32" spans="1:8" x14ac:dyDescent="0.4">
      <c r="A32" s="5">
        <v>45527</v>
      </c>
      <c r="B32" s="6" t="s">
        <v>24</v>
      </c>
      <c r="C32" s="6" t="s">
        <v>15</v>
      </c>
      <c r="D32" s="6" t="s">
        <v>19</v>
      </c>
      <c r="E32" s="6">
        <v>10</v>
      </c>
      <c r="F32" s="41">
        <v>10</v>
      </c>
      <c r="G32" s="41"/>
      <c r="H32" s="6"/>
    </row>
    <row r="33" spans="1:8" x14ac:dyDescent="0.4">
      <c r="A33" s="5"/>
      <c r="B33" s="6"/>
      <c r="C33" s="6" t="s">
        <v>15</v>
      </c>
      <c r="D33" s="6" t="s">
        <v>17</v>
      </c>
      <c r="E33" s="6" t="s">
        <v>18</v>
      </c>
      <c r="F33" s="41">
        <v>8</v>
      </c>
      <c r="G33" s="41"/>
      <c r="H33" s="6"/>
    </row>
    <row r="34" spans="1:8" x14ac:dyDescent="0.4">
      <c r="A34" s="5"/>
      <c r="B34" s="6"/>
      <c r="C34" s="6" t="s">
        <v>15</v>
      </c>
      <c r="D34" s="6" t="s">
        <v>10</v>
      </c>
      <c r="E34" s="6" t="s">
        <v>81</v>
      </c>
      <c r="F34" s="41">
        <v>35.299999999999997</v>
      </c>
      <c r="G34" s="41"/>
      <c r="H34" s="6"/>
    </row>
    <row r="35" spans="1:8" x14ac:dyDescent="0.4">
      <c r="A35" s="5">
        <v>45528</v>
      </c>
      <c r="B35" s="6" t="s">
        <v>29</v>
      </c>
      <c r="C35" s="6" t="s">
        <v>15</v>
      </c>
      <c r="D35" s="6" t="s">
        <v>19</v>
      </c>
      <c r="E35" s="6" t="s">
        <v>306</v>
      </c>
      <c r="F35" s="41">
        <f>8+14.9+4.5</f>
        <v>27.4</v>
      </c>
      <c r="G35" s="41"/>
      <c r="H35" s="6"/>
    </row>
    <row r="36" spans="1:8" x14ac:dyDescent="0.4">
      <c r="A36" s="5">
        <v>45529</v>
      </c>
      <c r="B36" s="6" t="s">
        <v>31</v>
      </c>
      <c r="C36" s="6" t="s">
        <v>15</v>
      </c>
      <c r="D36" s="6" t="s">
        <v>19</v>
      </c>
      <c r="E36" s="6" t="s">
        <v>307</v>
      </c>
      <c r="F36" s="41">
        <f>3.5+12+13</f>
        <v>28.5</v>
      </c>
      <c r="G36" s="41"/>
      <c r="H36" s="6"/>
    </row>
    <row r="37" spans="1:8" x14ac:dyDescent="0.4">
      <c r="A37" s="5"/>
      <c r="B37" s="6"/>
      <c r="C37" s="6" t="s">
        <v>15</v>
      </c>
      <c r="D37" s="6" t="s">
        <v>17</v>
      </c>
      <c r="E37" s="6" t="s">
        <v>308</v>
      </c>
      <c r="F37" s="41">
        <v>40</v>
      </c>
      <c r="G37" s="41"/>
      <c r="H37" s="6"/>
    </row>
    <row r="38" spans="1:8" x14ac:dyDescent="0.4">
      <c r="A38" s="5"/>
      <c r="B38" s="6"/>
      <c r="C38" s="6" t="s">
        <v>15</v>
      </c>
      <c r="D38" s="6" t="s">
        <v>19</v>
      </c>
      <c r="E38" s="6" t="s">
        <v>309</v>
      </c>
      <c r="F38" s="41">
        <v>9.66</v>
      </c>
      <c r="G38" s="41"/>
      <c r="H38" s="6"/>
    </row>
    <row r="39" spans="1:8" x14ac:dyDescent="0.4">
      <c r="A39" s="5">
        <v>45530</v>
      </c>
      <c r="B39" s="6" t="s">
        <v>33</v>
      </c>
      <c r="C39" s="6" t="s">
        <v>15</v>
      </c>
      <c r="D39" s="6" t="s">
        <v>19</v>
      </c>
      <c r="E39" s="6" t="s">
        <v>310</v>
      </c>
      <c r="F39" s="41">
        <v>25</v>
      </c>
      <c r="G39" s="41"/>
      <c r="H39" s="6"/>
    </row>
    <row r="40" spans="1:8" x14ac:dyDescent="0.4">
      <c r="A40" s="5"/>
      <c r="B40" s="6"/>
      <c r="C40" s="71" t="s">
        <v>15</v>
      </c>
      <c r="D40" s="71" t="s">
        <v>17</v>
      </c>
      <c r="E40" s="71" t="s">
        <v>80</v>
      </c>
      <c r="F40" s="72">
        <v>2.25</v>
      </c>
      <c r="G40" s="41"/>
      <c r="H40" s="6"/>
    </row>
    <row r="41" spans="1:8" x14ac:dyDescent="0.4">
      <c r="A41" s="5"/>
      <c r="B41" s="6"/>
      <c r="C41" s="6" t="s">
        <v>15</v>
      </c>
      <c r="D41" s="6" t="s">
        <v>10</v>
      </c>
      <c r="E41" s="6" t="s">
        <v>81</v>
      </c>
      <c r="F41" s="41">
        <v>5</v>
      </c>
      <c r="G41" s="41"/>
      <c r="H41" s="6"/>
    </row>
    <row r="42" spans="1:8" x14ac:dyDescent="0.4">
      <c r="A42" s="5"/>
      <c r="B42" s="6"/>
      <c r="C42" s="6" t="s">
        <v>12</v>
      </c>
      <c r="D42" s="6" t="s">
        <v>17</v>
      </c>
      <c r="E42" s="6" t="s">
        <v>311</v>
      </c>
      <c r="G42" s="41">
        <v>-6</v>
      </c>
      <c r="H42" s="6"/>
    </row>
    <row r="43" spans="1:8" x14ac:dyDescent="0.4">
      <c r="A43" s="5"/>
      <c r="B43" s="6"/>
      <c r="C43" s="6" t="s">
        <v>15</v>
      </c>
      <c r="D43" s="6" t="s">
        <v>10</v>
      </c>
      <c r="E43" s="6" t="s">
        <v>81</v>
      </c>
      <c r="F43" s="41">
        <v>11</v>
      </c>
      <c r="G43" s="41"/>
      <c r="H43" s="6"/>
    </row>
    <row r="44" spans="1:8" x14ac:dyDescent="0.4">
      <c r="A44" s="5"/>
      <c r="B44" s="6"/>
      <c r="C44" s="6"/>
      <c r="D44" s="6"/>
      <c r="E44" s="6"/>
      <c r="F44" s="41"/>
      <c r="G44" s="41"/>
      <c r="H44" s="6"/>
    </row>
    <row r="45" spans="1:8" x14ac:dyDescent="0.4">
      <c r="A45" s="5"/>
      <c r="B45" s="6"/>
      <c r="C45" s="6" t="s">
        <v>15</v>
      </c>
      <c r="D45" s="6" t="s">
        <v>17</v>
      </c>
      <c r="E45" s="6" t="s">
        <v>312</v>
      </c>
      <c r="F45" s="41">
        <v>413</v>
      </c>
      <c r="G45" s="41"/>
      <c r="H45" s="6"/>
    </row>
    <row r="46" spans="1:8" x14ac:dyDescent="0.4">
      <c r="A46" s="5"/>
      <c r="B46" s="6"/>
      <c r="C46" s="6" t="s">
        <v>15</v>
      </c>
      <c r="D46" s="6" t="s">
        <v>17</v>
      </c>
      <c r="E46" s="6" t="s">
        <v>313</v>
      </c>
      <c r="F46" s="41">
        <v>100</v>
      </c>
      <c r="G46" s="41"/>
      <c r="H46" s="6"/>
    </row>
    <row r="47" spans="1:8" x14ac:dyDescent="0.4">
      <c r="A47" s="5">
        <v>45531</v>
      </c>
      <c r="B47" s="6" t="s">
        <v>20</v>
      </c>
      <c r="C47" s="6" t="s">
        <v>15</v>
      </c>
      <c r="D47" s="6" t="s">
        <v>19</v>
      </c>
      <c r="E47" s="6" t="s">
        <v>314</v>
      </c>
      <c r="F47" s="41">
        <f>8+14+3</f>
        <v>25</v>
      </c>
      <c r="G47" s="41"/>
      <c r="H47" s="6"/>
    </row>
    <row r="48" spans="1:8" x14ac:dyDescent="0.4">
      <c r="A48" s="5"/>
      <c r="B48" s="6"/>
      <c r="C48" s="6" t="s">
        <v>15</v>
      </c>
      <c r="D48" s="6" t="s">
        <v>13</v>
      </c>
      <c r="E48" s="6" t="s">
        <v>315</v>
      </c>
      <c r="F48" s="41">
        <v>263</v>
      </c>
      <c r="G48" s="41"/>
      <c r="H48" s="6"/>
    </row>
    <row r="49" spans="1:8" x14ac:dyDescent="0.4">
      <c r="A49" s="5"/>
      <c r="B49" s="6"/>
      <c r="C49" s="6" t="s">
        <v>15</v>
      </c>
      <c r="D49" s="6" t="s">
        <v>17</v>
      </c>
      <c r="E49" s="6" t="s">
        <v>240</v>
      </c>
      <c r="F49" s="41">
        <f>20</f>
        <v>20</v>
      </c>
      <c r="G49" s="41"/>
      <c r="H49" s="6"/>
    </row>
    <row r="50" spans="1:8" x14ac:dyDescent="0.4">
      <c r="A50" s="5"/>
      <c r="B50" s="6"/>
      <c r="C50" s="6" t="s">
        <v>12</v>
      </c>
      <c r="D50" s="6" t="s">
        <v>17</v>
      </c>
      <c r="E50" s="6" t="s">
        <v>311</v>
      </c>
      <c r="G50" s="41">
        <v>-10</v>
      </c>
      <c r="H50" s="6"/>
    </row>
    <row r="51" spans="1:8" x14ac:dyDescent="0.4">
      <c r="A51" s="5"/>
      <c r="B51" s="6"/>
      <c r="C51" s="6" t="s">
        <v>15</v>
      </c>
      <c r="D51" s="6" t="s">
        <v>10</v>
      </c>
      <c r="E51" s="6" t="s">
        <v>81</v>
      </c>
      <c r="F51" s="41">
        <v>16.2</v>
      </c>
      <c r="G51" s="41"/>
      <c r="H51" s="6"/>
    </row>
    <row r="52" spans="1:8" x14ac:dyDescent="0.4">
      <c r="A52" s="5">
        <v>45532</v>
      </c>
      <c r="B52" s="6" t="s">
        <v>22</v>
      </c>
      <c r="C52" s="6" t="s">
        <v>15</v>
      </c>
      <c r="D52" s="6" t="s">
        <v>19</v>
      </c>
      <c r="E52" s="6" t="s">
        <v>316</v>
      </c>
      <c r="F52" s="41">
        <f>11+9+2.5</f>
        <v>22.5</v>
      </c>
      <c r="G52" s="41"/>
      <c r="H52" s="6"/>
    </row>
    <row r="53" spans="1:8" x14ac:dyDescent="0.4">
      <c r="A53" s="5"/>
      <c r="B53" s="6"/>
      <c r="C53" s="6" t="s">
        <v>15</v>
      </c>
      <c r="D53" s="6" t="s">
        <v>17</v>
      </c>
      <c r="E53" s="6" t="s">
        <v>269</v>
      </c>
      <c r="F53" s="41">
        <v>68.34</v>
      </c>
      <c r="G53" s="41"/>
      <c r="H53" s="6"/>
    </row>
    <row r="54" spans="1:8" x14ac:dyDescent="0.4">
      <c r="A54" s="5">
        <v>45533</v>
      </c>
      <c r="B54" s="6" t="s">
        <v>23</v>
      </c>
      <c r="C54" s="6" t="s">
        <v>15</v>
      </c>
      <c r="D54" s="6" t="s">
        <v>19</v>
      </c>
      <c r="E54" s="6" t="s">
        <v>317</v>
      </c>
      <c r="F54" s="41">
        <f>3+11+11</f>
        <v>25</v>
      </c>
      <c r="G54" s="41"/>
      <c r="H54" s="6"/>
    </row>
    <row r="55" spans="1:8" x14ac:dyDescent="0.4">
      <c r="A55" s="5">
        <v>45534</v>
      </c>
      <c r="B55" s="6" t="s">
        <v>24</v>
      </c>
      <c r="C55" s="6" t="s">
        <v>15</v>
      </c>
      <c r="D55" s="6" t="s">
        <v>19</v>
      </c>
      <c r="E55" s="6" t="s">
        <v>318</v>
      </c>
      <c r="F55" s="41">
        <f>7+10+15</f>
        <v>32</v>
      </c>
      <c r="G55" s="41"/>
      <c r="H55" s="6"/>
    </row>
    <row r="56" spans="1:8" x14ac:dyDescent="0.4">
      <c r="A56" s="5"/>
      <c r="B56" s="6"/>
      <c r="C56" s="6" t="s">
        <v>15</v>
      </c>
      <c r="D56" s="6" t="s">
        <v>17</v>
      </c>
      <c r="E56" s="6" t="s">
        <v>213</v>
      </c>
      <c r="F56" s="41">
        <v>0.5</v>
      </c>
      <c r="G56" s="41"/>
      <c r="H56" s="6"/>
    </row>
    <row r="57" spans="1:8" x14ac:dyDescent="0.4">
      <c r="A57" s="5"/>
      <c r="B57" s="6"/>
      <c r="C57" s="6" t="s">
        <v>15</v>
      </c>
      <c r="D57" s="6" t="s">
        <v>10</v>
      </c>
      <c r="E57" s="6" t="s">
        <v>81</v>
      </c>
      <c r="F57" s="41">
        <v>25.26</v>
      </c>
      <c r="G57" s="41"/>
      <c r="H57" s="6"/>
    </row>
    <row r="58" spans="1:8" x14ac:dyDescent="0.4">
      <c r="A58" s="5">
        <v>45535</v>
      </c>
      <c r="B58" s="6" t="s">
        <v>29</v>
      </c>
      <c r="C58" s="6" t="s">
        <v>15</v>
      </c>
      <c r="D58" s="6" t="s">
        <v>19</v>
      </c>
      <c r="E58" s="6" t="s">
        <v>319</v>
      </c>
      <c r="F58" s="41">
        <f>3.2+14+14</f>
        <v>31.2</v>
      </c>
      <c r="G58" s="41"/>
      <c r="H58" s="6"/>
    </row>
    <row r="59" spans="1:8" x14ac:dyDescent="0.4">
      <c r="A59" s="5"/>
      <c r="B59" s="6"/>
      <c r="C59" s="6" t="s">
        <v>15</v>
      </c>
      <c r="D59" s="6" t="s">
        <v>17</v>
      </c>
      <c r="E59" s="6" t="s">
        <v>320</v>
      </c>
      <c r="F59" s="41">
        <f>29.7+15.9+1.49+9.9</f>
        <v>56.99</v>
      </c>
      <c r="G59" s="41"/>
      <c r="H59" s="6"/>
    </row>
    <row r="60" spans="1:8" x14ac:dyDescent="0.4">
      <c r="A60" s="5"/>
      <c r="B60" s="6"/>
      <c r="C60" s="6" t="s">
        <v>15</v>
      </c>
      <c r="D60" s="6" t="s">
        <v>44</v>
      </c>
      <c r="E60" s="6" t="s">
        <v>250</v>
      </c>
      <c r="F60" s="41">
        <v>1116.1600000000001</v>
      </c>
      <c r="G60" s="41" t="s">
        <v>321</v>
      </c>
      <c r="H60" s="6"/>
    </row>
    <row r="61" spans="1:8" x14ac:dyDescent="0.4">
      <c r="A61" s="5"/>
      <c r="B61" s="6"/>
      <c r="C61" s="6"/>
      <c r="D61" s="6"/>
      <c r="E61" s="6"/>
      <c r="F61" s="41"/>
      <c r="G61" s="41"/>
      <c r="H61" s="6"/>
    </row>
    <row r="62" spans="1:8" x14ac:dyDescent="0.4">
      <c r="A62" s="5"/>
      <c r="B62" s="6"/>
      <c r="C62" s="6"/>
      <c r="D62" s="6"/>
      <c r="E62" s="6"/>
      <c r="F62" s="41"/>
      <c r="G62" s="41">
        <f>SUM(F4:F60)</f>
        <v>3452.88</v>
      </c>
      <c r="H62" s="6"/>
    </row>
    <row r="63" spans="1:8" x14ac:dyDescent="0.4">
      <c r="A63" s="5"/>
      <c r="B63" s="6"/>
      <c r="C63" s="6"/>
      <c r="D63" s="6"/>
      <c r="E63" s="6"/>
      <c r="F63" s="41"/>
      <c r="G63" s="41"/>
      <c r="H63" s="6"/>
    </row>
    <row r="64" spans="1:8" x14ac:dyDescent="0.4">
      <c r="A64" s="5"/>
      <c r="B64" s="6"/>
      <c r="C64" s="6"/>
      <c r="D64" s="6"/>
      <c r="E64" s="6"/>
      <c r="F64" s="41"/>
      <c r="G64" s="41"/>
      <c r="H64" s="6"/>
    </row>
    <row r="65" spans="1:8" x14ac:dyDescent="0.4">
      <c r="A65" s="5"/>
      <c r="B65" s="6"/>
      <c r="C65" s="6"/>
      <c r="D65" s="6"/>
      <c r="E65" s="6"/>
      <c r="F65" s="41"/>
      <c r="G65" s="41"/>
      <c r="H65" s="6"/>
    </row>
    <row r="66" spans="1:8" x14ac:dyDescent="0.4">
      <c r="A66" s="5"/>
      <c r="B66" s="6"/>
      <c r="C66" s="6"/>
      <c r="D66" s="6"/>
      <c r="E66" s="6"/>
      <c r="F66" s="41"/>
      <c r="G66" s="41"/>
      <c r="H66" s="6"/>
    </row>
    <row r="67" spans="1:8" x14ac:dyDescent="0.4">
      <c r="A67" s="5"/>
      <c r="B67" s="6"/>
      <c r="C67" s="6"/>
      <c r="D67" s="6"/>
      <c r="E67" s="6"/>
      <c r="F67" s="41"/>
      <c r="G67" s="41"/>
      <c r="H67" s="6"/>
    </row>
    <row r="68" spans="1:8" x14ac:dyDescent="0.4">
      <c r="A68" s="5"/>
      <c r="B68" s="6"/>
      <c r="C68" s="6"/>
      <c r="D68" s="6"/>
      <c r="E68" s="6"/>
      <c r="F68" s="41"/>
      <c r="G68" s="41"/>
      <c r="H68" s="6"/>
    </row>
    <row r="69" spans="1:8" x14ac:dyDescent="0.4">
      <c r="A69" s="5"/>
      <c r="B69" s="6"/>
      <c r="C69" s="6"/>
      <c r="D69" s="6"/>
      <c r="E69" s="6"/>
      <c r="F69" s="41"/>
      <c r="G69" s="41"/>
      <c r="H69" s="6"/>
    </row>
    <row r="70" spans="1:8" x14ac:dyDescent="0.4">
      <c r="A70" s="5"/>
      <c r="B70" s="6"/>
      <c r="C70" s="6"/>
      <c r="D70" s="6"/>
      <c r="E70" s="6"/>
      <c r="F70" s="41"/>
      <c r="G70" s="41"/>
      <c r="H70" s="6"/>
    </row>
    <row r="71" spans="1:8" x14ac:dyDescent="0.4">
      <c r="A71" s="5"/>
      <c r="B71" s="6"/>
      <c r="C71" s="6"/>
      <c r="D71" s="6"/>
      <c r="E71" s="6"/>
      <c r="F71" s="41"/>
      <c r="G71" s="41"/>
      <c r="H71" s="6"/>
    </row>
    <row r="72" spans="1:8" x14ac:dyDescent="0.4">
      <c r="A72" s="5"/>
      <c r="B72" s="6"/>
      <c r="C72" s="6"/>
      <c r="D72" s="6"/>
      <c r="E72" s="6"/>
      <c r="F72" s="41"/>
      <c r="G72" s="41"/>
      <c r="H72" s="6"/>
    </row>
    <row r="73" spans="1:8" x14ac:dyDescent="0.4">
      <c r="A73" s="5"/>
      <c r="B73" s="6"/>
      <c r="C73" s="6"/>
      <c r="D73" s="6"/>
      <c r="E73" s="6"/>
      <c r="F73" s="41"/>
      <c r="G73" s="41"/>
      <c r="H73" s="6"/>
    </row>
    <row r="74" spans="1:8" x14ac:dyDescent="0.4">
      <c r="A74" s="5"/>
      <c r="B74" s="6"/>
      <c r="C74" s="6"/>
      <c r="D74" s="6"/>
      <c r="E74" s="6"/>
      <c r="F74" s="41"/>
      <c r="G74" s="41"/>
      <c r="H74" s="6"/>
    </row>
    <row r="75" spans="1:8" x14ac:dyDescent="0.4">
      <c r="A75" s="5"/>
      <c r="B75" s="6"/>
      <c r="C75" s="6"/>
      <c r="D75" s="6"/>
      <c r="E75" s="6"/>
      <c r="F75" s="41"/>
      <c r="G75" s="41"/>
      <c r="H75" s="6"/>
    </row>
    <row r="76" spans="1:8" x14ac:dyDescent="0.4">
      <c r="A76" s="5"/>
      <c r="B76" s="6"/>
      <c r="C76" s="6"/>
      <c r="D76" s="6"/>
      <c r="E76" s="6"/>
      <c r="F76" s="41"/>
      <c r="G76" s="41"/>
      <c r="H76" s="6"/>
    </row>
  </sheetData>
  <protectedRanges>
    <protectedRange sqref="G50 A4:E76 H4:H76 G42 F51:G76 F4:G41 F43:G49" name="编辑区_5"/>
  </protectedRanges>
  <mergeCells count="2">
    <mergeCell ref="A1:B2"/>
    <mergeCell ref="C1:H2"/>
  </mergeCells>
  <phoneticPr fontId="1" type="noConversion"/>
  <dataValidations count="3">
    <dataValidation type="list" allowBlank="1" showInputMessage="1" showErrorMessage="1" sqref="D3:D76" xr:uid="{832D8E2D-6A44-4D31-BF72-F3F54F6CF7B8}">
      <formula1>"饮食,学习,生活,外务,增值,特别立项"</formula1>
    </dataValidation>
    <dataValidation type="list" allowBlank="1" showInputMessage="1" showErrorMessage="1" sqref="C3:C76" xr:uid="{D4820DB0-B212-4223-AA3F-F59DEAB553A0}">
      <formula1>"收,支"</formula1>
    </dataValidation>
    <dataValidation type="list" allowBlank="1" showInputMessage="1" showErrorMessage="1" sqref="B4" xr:uid="{0D9507D7-2831-429A-A270-316558F10F60}">
      <formula1>"MO,TU,WE,TH,FR,SA,SU"</formula1>
    </dataValidation>
  </dataValidations>
  <hyperlinks>
    <hyperlink ref="A1:B2" location="主页!A1" display="返回主页" xr:uid="{A1290DB0-1EF7-4803-BAAB-6863A3F613D5}"/>
    <hyperlink ref="C1:H2" location="Sheet48最后数!A1" display="2024年八月财报" xr:uid="{BDA6D3C1-1F0C-44C9-B482-E8F40174A66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467C-1B8B-4371-A8CD-719A67C36C63}">
  <sheetPr codeName="Sheet10"/>
  <dimension ref="A1:H84"/>
  <sheetViews>
    <sheetView topLeftCell="A70" workbookViewId="0">
      <selection activeCell="H62" sqref="H62"/>
    </sheetView>
  </sheetViews>
  <sheetFormatPr defaultRowHeight="13.9" x14ac:dyDescent="0.4"/>
  <cols>
    <col min="1" max="1" width="10.59765625" bestFit="1" customWidth="1"/>
    <col min="5" max="5" width="32.59765625" customWidth="1"/>
    <col min="6" max="6" width="9.3984375" style="42" bestFit="1" customWidth="1"/>
    <col min="7" max="7" width="9.06640625" style="42"/>
    <col min="8" max="8" width="9.3984375" bestFit="1" customWidth="1"/>
  </cols>
  <sheetData>
    <row r="1" spans="1:8" x14ac:dyDescent="0.4">
      <c r="A1" s="78" t="s">
        <v>1</v>
      </c>
      <c r="B1" s="78"/>
      <c r="C1" s="97" t="s">
        <v>322</v>
      </c>
      <c r="D1" s="97"/>
      <c r="E1" s="97"/>
      <c r="F1" s="97"/>
      <c r="G1" s="97"/>
      <c r="H1" s="97"/>
    </row>
    <row r="2" spans="1:8" x14ac:dyDescent="0.4">
      <c r="A2" s="78"/>
      <c r="B2" s="78"/>
      <c r="C2" s="97"/>
      <c r="D2" s="97"/>
      <c r="E2" s="97"/>
      <c r="F2" s="97"/>
      <c r="G2" s="97"/>
      <c r="H2" s="97"/>
    </row>
    <row r="3" spans="1:8" x14ac:dyDescent="0.4">
      <c r="A3" s="5" t="s">
        <v>0</v>
      </c>
      <c r="B3" s="6" t="s">
        <v>3</v>
      </c>
      <c r="C3" s="6" t="s">
        <v>5</v>
      </c>
      <c r="D3" s="6" t="s">
        <v>4</v>
      </c>
      <c r="E3" s="6" t="s">
        <v>6</v>
      </c>
      <c r="F3" s="41" t="s">
        <v>7</v>
      </c>
      <c r="G3" s="41" t="s">
        <v>8</v>
      </c>
      <c r="H3" s="6" t="s">
        <v>9</v>
      </c>
    </row>
    <row r="4" spans="1:8" x14ac:dyDescent="0.4">
      <c r="A4" s="5">
        <v>45536</v>
      </c>
      <c r="B4" s="6" t="s">
        <v>231</v>
      </c>
      <c r="C4" s="6" t="s">
        <v>15</v>
      </c>
      <c r="D4" s="6" t="s">
        <v>19</v>
      </c>
      <c r="E4" s="6" t="s">
        <v>323</v>
      </c>
      <c r="F4" s="41">
        <f>3+1+9.5+14</f>
        <v>27.5</v>
      </c>
      <c r="G4" s="41"/>
      <c r="H4" s="6"/>
    </row>
    <row r="5" spans="1:8" x14ac:dyDescent="0.4">
      <c r="A5" s="5">
        <v>45537</v>
      </c>
      <c r="B5" s="6" t="s">
        <v>33</v>
      </c>
      <c r="C5" s="6" t="s">
        <v>15</v>
      </c>
      <c r="D5" s="6" t="s">
        <v>19</v>
      </c>
      <c r="E5" s="6" t="s">
        <v>324</v>
      </c>
      <c r="F5" s="41">
        <f>4.5+14+17</f>
        <v>35.5</v>
      </c>
      <c r="G5" s="41"/>
      <c r="H5" s="6"/>
    </row>
    <row r="6" spans="1:8" x14ac:dyDescent="0.4">
      <c r="A6" s="5"/>
      <c r="B6" s="6"/>
      <c r="C6" s="6"/>
      <c r="D6" s="6"/>
      <c r="E6" s="6"/>
      <c r="F6" s="41"/>
      <c r="G6" s="41"/>
      <c r="H6" s="6"/>
    </row>
    <row r="7" spans="1:8" x14ac:dyDescent="0.4">
      <c r="A7" s="5"/>
      <c r="B7" s="6"/>
      <c r="C7" s="6" t="s">
        <v>15</v>
      </c>
      <c r="D7" s="6" t="s">
        <v>10</v>
      </c>
      <c r="E7" s="6" t="s">
        <v>81</v>
      </c>
      <c r="F7" s="41">
        <v>14.39</v>
      </c>
      <c r="G7" s="41"/>
      <c r="H7" s="6"/>
    </row>
    <row r="8" spans="1:8" x14ac:dyDescent="0.4">
      <c r="A8" s="5">
        <v>45538</v>
      </c>
      <c r="B8" s="6" t="s">
        <v>20</v>
      </c>
      <c r="C8" s="6" t="s">
        <v>15</v>
      </c>
      <c r="D8" s="6" t="s">
        <v>19</v>
      </c>
      <c r="E8" s="6" t="s">
        <v>325</v>
      </c>
      <c r="F8" s="41">
        <f>4.5+12+14</f>
        <v>30.5</v>
      </c>
      <c r="G8" s="41"/>
      <c r="H8" s="6"/>
    </row>
    <row r="9" spans="1:8" x14ac:dyDescent="0.4">
      <c r="A9" s="5"/>
      <c r="B9" s="6"/>
      <c r="C9" s="71" t="s">
        <v>15</v>
      </c>
      <c r="D9" s="71" t="s">
        <v>17</v>
      </c>
      <c r="E9" s="71" t="s">
        <v>326</v>
      </c>
      <c r="F9" s="72">
        <v>6</v>
      </c>
      <c r="G9" s="41"/>
      <c r="H9" s="6"/>
    </row>
    <row r="10" spans="1:8" x14ac:dyDescent="0.4">
      <c r="A10" s="5">
        <v>45539</v>
      </c>
      <c r="B10" s="6" t="s">
        <v>22</v>
      </c>
      <c r="C10" s="6" t="s">
        <v>15</v>
      </c>
      <c r="D10" s="6" t="s">
        <v>19</v>
      </c>
      <c r="E10" s="6" t="s">
        <v>327</v>
      </c>
      <c r="F10" s="41">
        <f>4+11+9</f>
        <v>24</v>
      </c>
      <c r="G10" s="41"/>
      <c r="H10" s="6"/>
    </row>
    <row r="11" spans="1:8" x14ac:dyDescent="0.4">
      <c r="A11" s="5">
        <v>45540</v>
      </c>
      <c r="B11" s="6" t="s">
        <v>23</v>
      </c>
      <c r="C11" s="6" t="s">
        <v>15</v>
      </c>
      <c r="D11" s="6" t="s">
        <v>19</v>
      </c>
      <c r="E11" s="6" t="s">
        <v>328</v>
      </c>
      <c r="F11" s="41">
        <f>4.5+11+12</f>
        <v>27.5</v>
      </c>
      <c r="G11" s="41"/>
      <c r="H11" s="6"/>
    </row>
    <row r="12" spans="1:8" x14ac:dyDescent="0.4">
      <c r="A12" s="5">
        <v>45541</v>
      </c>
      <c r="B12" s="6" t="s">
        <v>24</v>
      </c>
      <c r="C12" s="6" t="s">
        <v>15</v>
      </c>
      <c r="D12" s="6" t="s">
        <v>19</v>
      </c>
      <c r="E12" s="6" t="s">
        <v>329</v>
      </c>
      <c r="F12" s="41">
        <f>4.5+10.5+9</f>
        <v>24</v>
      </c>
      <c r="G12" s="41"/>
      <c r="H12" s="6"/>
    </row>
    <row r="13" spans="1:8" x14ac:dyDescent="0.4">
      <c r="A13" s="5"/>
      <c r="B13" s="6"/>
      <c r="C13" s="6" t="s">
        <v>15</v>
      </c>
      <c r="D13" s="6" t="s">
        <v>17</v>
      </c>
      <c r="E13" s="6" t="s">
        <v>330</v>
      </c>
      <c r="F13" s="41">
        <v>4.74</v>
      </c>
      <c r="G13" s="41"/>
      <c r="H13" s="6"/>
    </row>
    <row r="14" spans="1:8" x14ac:dyDescent="0.4">
      <c r="A14" s="5"/>
      <c r="B14" s="6"/>
      <c r="C14" s="6" t="s">
        <v>12</v>
      </c>
      <c r="D14" s="6" t="s">
        <v>17</v>
      </c>
      <c r="E14" s="6" t="s">
        <v>331</v>
      </c>
      <c r="F14" s="41">
        <v>-100</v>
      </c>
      <c r="G14" s="41"/>
      <c r="H14" s="6"/>
    </row>
    <row r="15" spans="1:8" x14ac:dyDescent="0.4">
      <c r="A15" s="5">
        <v>45542</v>
      </c>
      <c r="B15" s="6" t="s">
        <v>29</v>
      </c>
      <c r="C15" s="6" t="s">
        <v>12</v>
      </c>
      <c r="D15" s="6" t="s">
        <v>17</v>
      </c>
      <c r="E15" s="6" t="s">
        <v>226</v>
      </c>
      <c r="F15" s="41">
        <v>-0.01</v>
      </c>
      <c r="G15" s="41"/>
      <c r="H15" s="6"/>
    </row>
    <row r="16" spans="1:8" x14ac:dyDescent="0.4">
      <c r="A16" s="5"/>
      <c r="B16" s="6"/>
      <c r="C16" s="6" t="s">
        <v>15</v>
      </c>
      <c r="D16" s="6" t="s">
        <v>17</v>
      </c>
      <c r="E16" s="6" t="s">
        <v>332</v>
      </c>
      <c r="F16" s="41">
        <v>60</v>
      </c>
      <c r="G16" s="41"/>
      <c r="H16" s="6"/>
    </row>
    <row r="17" spans="1:8" x14ac:dyDescent="0.4">
      <c r="A17" s="5"/>
      <c r="B17" s="6"/>
      <c r="C17" s="6" t="s">
        <v>15</v>
      </c>
      <c r="D17" s="6" t="s">
        <v>17</v>
      </c>
      <c r="E17" s="6" t="s">
        <v>333</v>
      </c>
      <c r="F17" s="41">
        <v>20.75</v>
      </c>
      <c r="G17" s="41"/>
      <c r="H17" s="6"/>
    </row>
    <row r="18" spans="1:8" x14ac:dyDescent="0.4">
      <c r="A18" s="5"/>
      <c r="B18" s="6"/>
      <c r="C18" s="6" t="s">
        <v>15</v>
      </c>
      <c r="D18" s="6" t="s">
        <v>17</v>
      </c>
      <c r="E18" s="6" t="s">
        <v>18</v>
      </c>
      <c r="F18" s="41">
        <v>8</v>
      </c>
      <c r="G18" s="41"/>
      <c r="H18" s="6"/>
    </row>
    <row r="19" spans="1:8" x14ac:dyDescent="0.4">
      <c r="A19" s="5"/>
      <c r="B19" s="6"/>
      <c r="C19" s="6" t="s">
        <v>15</v>
      </c>
      <c r="D19" s="6" t="s">
        <v>19</v>
      </c>
      <c r="E19" s="6" t="s">
        <v>334</v>
      </c>
      <c r="F19" s="41">
        <f>15+6</f>
        <v>21</v>
      </c>
      <c r="G19" s="41"/>
      <c r="H19" s="6"/>
    </row>
    <row r="20" spans="1:8" x14ac:dyDescent="0.4">
      <c r="A20" s="5">
        <v>45543</v>
      </c>
      <c r="B20" s="6" t="s">
        <v>31</v>
      </c>
      <c r="C20" s="6" t="s">
        <v>15</v>
      </c>
      <c r="D20" s="6" t="s">
        <v>19</v>
      </c>
      <c r="E20" s="6">
        <v>12</v>
      </c>
      <c r="F20" s="41">
        <v>12</v>
      </c>
      <c r="G20" s="41"/>
      <c r="H20" s="6"/>
    </row>
    <row r="21" spans="1:8" x14ac:dyDescent="0.4">
      <c r="A21" s="5"/>
      <c r="B21" s="6"/>
      <c r="C21" s="6" t="s">
        <v>15</v>
      </c>
      <c r="D21" s="6" t="s">
        <v>17</v>
      </c>
      <c r="E21" s="6" t="s">
        <v>18</v>
      </c>
      <c r="F21" s="41">
        <v>8</v>
      </c>
      <c r="G21" s="41"/>
      <c r="H21" s="6"/>
    </row>
    <row r="22" spans="1:8" x14ac:dyDescent="0.4">
      <c r="A22" s="5">
        <v>45544</v>
      </c>
      <c r="B22" s="6" t="s">
        <v>33</v>
      </c>
      <c r="C22" s="6" t="s">
        <v>15</v>
      </c>
      <c r="D22" s="6" t="s">
        <v>19</v>
      </c>
      <c r="E22" s="6" t="s">
        <v>335</v>
      </c>
      <c r="F22" s="41">
        <f>4+11+14</f>
        <v>29</v>
      </c>
      <c r="G22" s="41"/>
      <c r="H22" s="6"/>
    </row>
    <row r="23" spans="1:8" x14ac:dyDescent="0.4">
      <c r="A23" s="5">
        <v>45545</v>
      </c>
      <c r="B23" s="6" t="s">
        <v>20</v>
      </c>
      <c r="C23" s="6" t="s">
        <v>15</v>
      </c>
      <c r="D23" s="6" t="s">
        <v>19</v>
      </c>
      <c r="E23" s="6" t="s">
        <v>336</v>
      </c>
      <c r="F23" s="41">
        <f>4.5+13+15</f>
        <v>32.5</v>
      </c>
      <c r="G23" s="41"/>
      <c r="H23" s="6"/>
    </row>
    <row r="24" spans="1:8" x14ac:dyDescent="0.4">
      <c r="A24" s="5">
        <v>45546</v>
      </c>
      <c r="B24" s="6" t="s">
        <v>22</v>
      </c>
      <c r="C24" s="6" t="s">
        <v>15</v>
      </c>
      <c r="D24" s="6" t="s">
        <v>19</v>
      </c>
      <c r="E24" s="6" t="s">
        <v>337</v>
      </c>
      <c r="F24" s="41">
        <f>15+10</f>
        <v>25</v>
      </c>
      <c r="G24" s="41"/>
      <c r="H24" s="6"/>
    </row>
    <row r="25" spans="1:8" x14ac:dyDescent="0.4">
      <c r="A25" s="5"/>
      <c r="B25" s="6"/>
      <c r="C25" s="6" t="s">
        <v>15</v>
      </c>
      <c r="D25" s="6" t="s">
        <v>17</v>
      </c>
      <c r="E25" s="6" t="s">
        <v>338</v>
      </c>
      <c r="F25" s="41">
        <v>9.2799999999999994</v>
      </c>
      <c r="G25" s="41"/>
      <c r="H25" s="6"/>
    </row>
    <row r="26" spans="1:8" x14ac:dyDescent="0.4">
      <c r="A26" s="5"/>
      <c r="B26" s="6"/>
      <c r="C26" s="71" t="s">
        <v>15</v>
      </c>
      <c r="D26" s="71" t="s">
        <v>17</v>
      </c>
      <c r="E26" s="71" t="s">
        <v>339</v>
      </c>
      <c r="F26" s="72">
        <v>3</v>
      </c>
      <c r="G26" s="41"/>
      <c r="H26" s="6"/>
    </row>
    <row r="27" spans="1:8" x14ac:dyDescent="0.4">
      <c r="A27" s="5">
        <v>45547</v>
      </c>
      <c r="B27" s="6" t="s">
        <v>23</v>
      </c>
      <c r="C27" s="6" t="s">
        <v>15</v>
      </c>
      <c r="D27" s="6" t="s">
        <v>19</v>
      </c>
      <c r="E27" s="6" t="s">
        <v>340</v>
      </c>
      <c r="F27" s="41">
        <f>3.5+1.8+11+13+5</f>
        <v>34.299999999999997</v>
      </c>
      <c r="G27" s="41"/>
      <c r="H27" s="6"/>
    </row>
    <row r="28" spans="1:8" x14ac:dyDescent="0.4">
      <c r="A28" s="5">
        <v>45548</v>
      </c>
      <c r="B28" s="6" t="s">
        <v>24</v>
      </c>
      <c r="C28" s="6" t="s">
        <v>15</v>
      </c>
      <c r="D28" s="6" t="s">
        <v>19</v>
      </c>
      <c r="E28" s="6" t="s">
        <v>341</v>
      </c>
      <c r="F28" s="41">
        <f>6+10+10</f>
        <v>26</v>
      </c>
      <c r="G28" s="41"/>
      <c r="H28" s="6"/>
    </row>
    <row r="29" spans="1:8" x14ac:dyDescent="0.4">
      <c r="A29" s="5"/>
      <c r="B29" s="6"/>
      <c r="C29" s="6" t="s">
        <v>15</v>
      </c>
      <c r="D29" s="6" t="s">
        <v>13</v>
      </c>
      <c r="E29" s="6" t="s">
        <v>342</v>
      </c>
      <c r="F29" s="41">
        <v>82.91</v>
      </c>
      <c r="G29" s="41"/>
      <c r="H29" s="6"/>
    </row>
    <row r="30" spans="1:8" x14ac:dyDescent="0.4">
      <c r="A30" s="5"/>
      <c r="B30" s="6"/>
      <c r="C30" s="6" t="s">
        <v>12</v>
      </c>
      <c r="D30" s="6" t="s">
        <v>17</v>
      </c>
      <c r="E30" s="6" t="s">
        <v>226</v>
      </c>
      <c r="F30" s="41">
        <v>-1.2</v>
      </c>
      <c r="G30" s="41"/>
      <c r="H30" s="6"/>
    </row>
    <row r="31" spans="1:8" x14ac:dyDescent="0.4">
      <c r="A31" s="5">
        <v>45549</v>
      </c>
      <c r="B31" s="6" t="s">
        <v>29</v>
      </c>
      <c r="C31" s="6" t="s">
        <v>15</v>
      </c>
      <c r="D31" s="6" t="s">
        <v>19</v>
      </c>
      <c r="E31" s="6" t="s">
        <v>343</v>
      </c>
      <c r="F31" s="41">
        <f>5+9+2</f>
        <v>16</v>
      </c>
      <c r="G31" s="41"/>
      <c r="H31" s="6"/>
    </row>
    <row r="32" spans="1:8" x14ac:dyDescent="0.4">
      <c r="A32" s="5"/>
      <c r="B32" s="6"/>
      <c r="C32" s="6" t="s">
        <v>15</v>
      </c>
      <c r="D32" s="6" t="s">
        <v>13</v>
      </c>
      <c r="E32" s="6" t="s">
        <v>226</v>
      </c>
      <c r="F32" s="41">
        <v>3.8</v>
      </c>
      <c r="G32" s="41"/>
      <c r="H32" s="6"/>
    </row>
    <row r="33" spans="1:8" x14ac:dyDescent="0.4">
      <c r="A33" s="5"/>
      <c r="B33" s="6"/>
      <c r="C33" s="6" t="s">
        <v>15</v>
      </c>
      <c r="D33" s="6" t="s">
        <v>19</v>
      </c>
      <c r="E33" s="6" t="s">
        <v>344</v>
      </c>
      <c r="F33" s="41">
        <f>5+9</f>
        <v>14</v>
      </c>
      <c r="G33" s="41"/>
      <c r="H33" s="6"/>
    </row>
    <row r="34" spans="1:8" x14ac:dyDescent="0.4">
      <c r="A34" s="5"/>
      <c r="B34" s="6"/>
      <c r="C34" s="6" t="s">
        <v>15</v>
      </c>
      <c r="D34" s="6" t="s">
        <v>17</v>
      </c>
      <c r="E34" s="6" t="s">
        <v>18</v>
      </c>
      <c r="F34" s="41">
        <v>8</v>
      </c>
      <c r="G34" s="41"/>
      <c r="H34" s="6"/>
    </row>
    <row r="35" spans="1:8" x14ac:dyDescent="0.4">
      <c r="A35" s="5"/>
      <c r="B35" s="6"/>
      <c r="C35" s="6" t="s">
        <v>15</v>
      </c>
      <c r="D35" s="6" t="s">
        <v>13</v>
      </c>
      <c r="E35" s="6" t="s">
        <v>345</v>
      </c>
      <c r="F35" s="41">
        <v>14.77</v>
      </c>
      <c r="G35" s="41"/>
      <c r="H35" s="6"/>
    </row>
    <row r="36" spans="1:8" x14ac:dyDescent="0.4">
      <c r="A36" s="5"/>
      <c r="B36" s="6"/>
      <c r="C36" s="6" t="s">
        <v>12</v>
      </c>
      <c r="D36" s="6" t="s">
        <v>13</v>
      </c>
      <c r="E36" s="6" t="s">
        <v>346</v>
      </c>
      <c r="F36" s="41">
        <v>-27.64</v>
      </c>
      <c r="G36" s="41"/>
      <c r="H36" s="6"/>
    </row>
    <row r="37" spans="1:8" x14ac:dyDescent="0.4">
      <c r="A37" s="5">
        <v>45550</v>
      </c>
      <c r="B37" s="6" t="s">
        <v>31</v>
      </c>
      <c r="C37" s="6" t="s">
        <v>12</v>
      </c>
      <c r="D37" s="6" t="s">
        <v>13</v>
      </c>
      <c r="E37" s="6" t="s">
        <v>226</v>
      </c>
      <c r="F37" s="41">
        <v>-0.14000000000000001</v>
      </c>
      <c r="G37" s="41"/>
      <c r="H37" s="6"/>
    </row>
    <row r="38" spans="1:8" x14ac:dyDescent="0.4">
      <c r="A38" s="5"/>
      <c r="B38" s="6"/>
      <c r="C38" s="6" t="s">
        <v>12</v>
      </c>
      <c r="D38" s="6" t="s">
        <v>13</v>
      </c>
      <c r="E38" s="6" t="s">
        <v>346</v>
      </c>
      <c r="F38" s="41">
        <v>-27.64</v>
      </c>
      <c r="G38" s="41"/>
      <c r="H38" s="6"/>
    </row>
    <row r="39" spans="1:8" x14ac:dyDescent="0.4">
      <c r="A39" s="5">
        <v>45551</v>
      </c>
      <c r="B39" s="6" t="s">
        <v>33</v>
      </c>
      <c r="C39" s="6" t="s">
        <v>15</v>
      </c>
      <c r="D39" s="6" t="s">
        <v>17</v>
      </c>
      <c r="E39" s="6"/>
      <c r="F39" s="41">
        <v>22</v>
      </c>
      <c r="G39" s="41"/>
      <c r="H39" s="6"/>
    </row>
    <row r="40" spans="1:8" x14ac:dyDescent="0.4">
      <c r="A40" s="5">
        <v>45552</v>
      </c>
      <c r="B40" s="6" t="s">
        <v>20</v>
      </c>
      <c r="C40" s="6" t="s">
        <v>15</v>
      </c>
      <c r="D40" s="6" t="s">
        <v>17</v>
      </c>
      <c r="E40" s="6" t="s">
        <v>18</v>
      </c>
      <c r="F40" s="41">
        <v>7</v>
      </c>
      <c r="G40" s="41"/>
      <c r="H40" s="6"/>
    </row>
    <row r="41" spans="1:8" x14ac:dyDescent="0.4">
      <c r="A41" s="5">
        <v>45553</v>
      </c>
      <c r="B41" s="6" t="s">
        <v>22</v>
      </c>
      <c r="C41" s="6" t="s">
        <v>15</v>
      </c>
      <c r="D41" s="6" t="s">
        <v>19</v>
      </c>
      <c r="E41" s="6" t="s">
        <v>347</v>
      </c>
      <c r="F41" s="41">
        <f>4+13+10</f>
        <v>27</v>
      </c>
      <c r="G41" s="41"/>
      <c r="H41" s="6"/>
    </row>
    <row r="42" spans="1:8" x14ac:dyDescent="0.4">
      <c r="A42" s="5"/>
      <c r="B42" s="6"/>
      <c r="C42" s="6" t="s">
        <v>15</v>
      </c>
      <c r="D42" s="6" t="s">
        <v>17</v>
      </c>
      <c r="E42" s="6" t="s">
        <v>348</v>
      </c>
      <c r="F42" s="41">
        <v>1649</v>
      </c>
      <c r="G42" s="41"/>
      <c r="H42" s="6"/>
    </row>
    <row r="43" spans="1:8" x14ac:dyDescent="0.4">
      <c r="A43" s="5">
        <v>45554</v>
      </c>
      <c r="B43" s="6" t="s">
        <v>23</v>
      </c>
      <c r="C43" s="6" t="s">
        <v>15</v>
      </c>
      <c r="D43" s="6" t="s">
        <v>19</v>
      </c>
      <c r="E43" s="6" t="s">
        <v>349</v>
      </c>
      <c r="F43" s="41">
        <f>9+13+3.5</f>
        <v>25.5</v>
      </c>
      <c r="G43" s="41"/>
      <c r="H43" s="6"/>
    </row>
    <row r="44" spans="1:8" x14ac:dyDescent="0.4">
      <c r="A44" s="5">
        <v>45555</v>
      </c>
      <c r="B44" s="6" t="s">
        <v>24</v>
      </c>
      <c r="C44" s="6" t="s">
        <v>15</v>
      </c>
      <c r="D44" s="6" t="s">
        <v>19</v>
      </c>
      <c r="E44" s="6" t="s">
        <v>350</v>
      </c>
      <c r="F44" s="41">
        <f>4.5+11+13</f>
        <v>28.5</v>
      </c>
      <c r="G44" s="41"/>
      <c r="H44" s="6"/>
    </row>
    <row r="45" spans="1:8" x14ac:dyDescent="0.4">
      <c r="A45" s="5">
        <v>45556</v>
      </c>
      <c r="B45" s="6" t="s">
        <v>29</v>
      </c>
      <c r="C45" s="6" t="s">
        <v>15</v>
      </c>
      <c r="D45" s="6" t="s">
        <v>19</v>
      </c>
      <c r="E45" s="6" t="s">
        <v>178</v>
      </c>
      <c r="F45" s="41">
        <f>4.5+12+11</f>
        <v>27.5</v>
      </c>
      <c r="G45" s="41"/>
      <c r="H45" s="6"/>
    </row>
    <row r="46" spans="1:8" x14ac:dyDescent="0.4">
      <c r="A46" s="5"/>
      <c r="B46" s="6"/>
      <c r="C46" s="71" t="s">
        <v>15</v>
      </c>
      <c r="D46" s="71" t="s">
        <v>17</v>
      </c>
      <c r="E46" s="71" t="s">
        <v>351</v>
      </c>
      <c r="F46" s="72">
        <v>6</v>
      </c>
      <c r="G46" s="41"/>
      <c r="H46" s="6"/>
    </row>
    <row r="47" spans="1:8" x14ac:dyDescent="0.4">
      <c r="A47" s="5">
        <v>45557</v>
      </c>
      <c r="B47" s="6" t="s">
        <v>31</v>
      </c>
      <c r="C47" s="6" t="s">
        <v>15</v>
      </c>
      <c r="D47" s="6" t="s">
        <v>19</v>
      </c>
      <c r="E47" s="6" t="s">
        <v>281</v>
      </c>
      <c r="F47" s="41">
        <f>4.5+10+13</f>
        <v>27.5</v>
      </c>
      <c r="G47" s="41"/>
      <c r="H47" s="6"/>
    </row>
    <row r="48" spans="1:8" x14ac:dyDescent="0.4">
      <c r="A48" s="5"/>
      <c r="B48" s="6"/>
      <c r="C48" s="6" t="s">
        <v>15</v>
      </c>
      <c r="D48" s="6" t="s">
        <v>13</v>
      </c>
      <c r="E48" s="6" t="s">
        <v>352</v>
      </c>
      <c r="F48" s="41">
        <v>50</v>
      </c>
      <c r="G48" s="41"/>
      <c r="H48" s="6"/>
    </row>
    <row r="49" spans="1:8" x14ac:dyDescent="0.4">
      <c r="A49" s="5">
        <v>45558</v>
      </c>
      <c r="B49" s="6" t="s">
        <v>33</v>
      </c>
      <c r="C49" s="6" t="s">
        <v>15</v>
      </c>
      <c r="D49" s="6" t="s">
        <v>19</v>
      </c>
      <c r="E49" s="6" t="s">
        <v>353</v>
      </c>
      <c r="F49" s="41">
        <f>11+10+5</f>
        <v>26</v>
      </c>
      <c r="G49" s="41"/>
      <c r="H49" s="6"/>
    </row>
    <row r="50" spans="1:8" x14ac:dyDescent="0.4">
      <c r="A50" s="5"/>
      <c r="B50" s="6"/>
      <c r="C50" s="6" t="s">
        <v>15</v>
      </c>
      <c r="D50" s="6" t="s">
        <v>13</v>
      </c>
      <c r="E50" s="6" t="s">
        <v>352</v>
      </c>
      <c r="F50" s="41">
        <v>6.27</v>
      </c>
      <c r="G50" s="41"/>
      <c r="H50" s="6"/>
    </row>
    <row r="51" spans="1:8" x14ac:dyDescent="0.4">
      <c r="A51" s="5"/>
      <c r="B51" s="6"/>
      <c r="C51" s="6" t="s">
        <v>12</v>
      </c>
      <c r="D51" s="6" t="s">
        <v>13</v>
      </c>
      <c r="E51" s="6" t="s">
        <v>352</v>
      </c>
      <c r="F51" s="41">
        <v>-16.670000000000002</v>
      </c>
      <c r="G51" s="41"/>
      <c r="H51" s="6"/>
    </row>
    <row r="52" spans="1:8" x14ac:dyDescent="0.4">
      <c r="A52" s="5"/>
      <c r="B52" s="6"/>
      <c r="C52" s="6" t="s">
        <v>12</v>
      </c>
      <c r="D52" s="6" t="s">
        <v>13</v>
      </c>
      <c r="E52" s="6" t="s">
        <v>352</v>
      </c>
      <c r="F52" s="41">
        <v>-16.670000000000002</v>
      </c>
      <c r="G52" s="41"/>
      <c r="H52" s="6"/>
    </row>
    <row r="53" spans="1:8" x14ac:dyDescent="0.4">
      <c r="A53" s="5"/>
      <c r="B53" s="6"/>
      <c r="C53" s="6" t="s">
        <v>15</v>
      </c>
      <c r="D53" s="6" t="s">
        <v>13</v>
      </c>
      <c r="E53" s="6" t="s">
        <v>352</v>
      </c>
      <c r="F53" s="41">
        <v>32.24</v>
      </c>
      <c r="G53" s="41"/>
      <c r="H53" s="6"/>
    </row>
    <row r="54" spans="1:8" x14ac:dyDescent="0.4">
      <c r="A54" s="5">
        <v>45559</v>
      </c>
      <c r="B54" s="6" t="s">
        <v>20</v>
      </c>
      <c r="C54" s="6" t="s">
        <v>15</v>
      </c>
      <c r="D54" s="6" t="s">
        <v>19</v>
      </c>
      <c r="E54" s="6" t="s">
        <v>354</v>
      </c>
      <c r="F54" s="41">
        <f>9+14</f>
        <v>23</v>
      </c>
      <c r="G54" s="41"/>
      <c r="H54" s="6"/>
    </row>
    <row r="55" spans="1:8" x14ac:dyDescent="0.4">
      <c r="A55" s="5">
        <v>45560</v>
      </c>
      <c r="B55" s="6" t="s">
        <v>22</v>
      </c>
      <c r="C55" s="6" t="s">
        <v>15</v>
      </c>
      <c r="D55" s="6" t="s">
        <v>19</v>
      </c>
      <c r="E55" s="6">
        <v>3</v>
      </c>
      <c r="F55" s="41">
        <v>3</v>
      </c>
      <c r="G55" s="41"/>
      <c r="H55" s="6"/>
    </row>
    <row r="56" spans="1:8" x14ac:dyDescent="0.4">
      <c r="A56" s="5">
        <v>45561</v>
      </c>
      <c r="B56" s="6" t="s">
        <v>23</v>
      </c>
      <c r="C56" s="6" t="s">
        <v>15</v>
      </c>
      <c r="D56" s="6" t="s">
        <v>19</v>
      </c>
      <c r="E56" s="6" t="s">
        <v>355</v>
      </c>
      <c r="F56" s="41">
        <f>5+12+13</f>
        <v>30</v>
      </c>
      <c r="G56" s="41"/>
      <c r="H56" s="6"/>
    </row>
    <row r="57" spans="1:8" x14ac:dyDescent="0.4">
      <c r="A57" s="5"/>
      <c r="B57" s="6"/>
      <c r="C57" s="6" t="s">
        <v>15</v>
      </c>
      <c r="D57" s="6" t="s">
        <v>17</v>
      </c>
      <c r="E57" s="6">
        <v>2.2000000000000002</v>
      </c>
      <c r="F57" s="41">
        <v>2.2000000000000002</v>
      </c>
      <c r="G57" s="41"/>
      <c r="H57" s="6"/>
    </row>
    <row r="58" spans="1:8" x14ac:dyDescent="0.4">
      <c r="A58" s="5">
        <v>45562</v>
      </c>
      <c r="B58" s="6" t="s">
        <v>24</v>
      </c>
      <c r="C58" s="6" t="s">
        <v>15</v>
      </c>
      <c r="D58" s="6" t="s">
        <v>19</v>
      </c>
      <c r="E58" s="6" t="s">
        <v>356</v>
      </c>
      <c r="F58" s="41">
        <f>5.5+10+10</f>
        <v>25.5</v>
      </c>
      <c r="G58" s="41"/>
      <c r="H58" s="6"/>
    </row>
    <row r="59" spans="1:8" x14ac:dyDescent="0.4">
      <c r="A59" s="5">
        <v>45563</v>
      </c>
      <c r="B59" s="6" t="s">
        <v>29</v>
      </c>
      <c r="C59" s="6" t="s">
        <v>15</v>
      </c>
      <c r="D59" s="6" t="s">
        <v>19</v>
      </c>
      <c r="E59" s="6" t="s">
        <v>357</v>
      </c>
      <c r="F59" s="41">
        <f>4+14+10</f>
        <v>28</v>
      </c>
      <c r="G59" s="41"/>
      <c r="H59" s="6"/>
    </row>
    <row r="60" spans="1:8" x14ac:dyDescent="0.4">
      <c r="A60" s="5">
        <v>45564</v>
      </c>
      <c r="B60" s="6" t="s">
        <v>31</v>
      </c>
      <c r="C60" s="6" t="s">
        <v>15</v>
      </c>
      <c r="D60" s="6" t="s">
        <v>19</v>
      </c>
      <c r="E60" s="6" t="s">
        <v>358</v>
      </c>
      <c r="F60" s="41">
        <v>18</v>
      </c>
      <c r="G60" s="41"/>
      <c r="H60" s="6"/>
    </row>
    <row r="61" spans="1:8" x14ac:dyDescent="0.4">
      <c r="A61" s="5"/>
      <c r="B61" s="6"/>
      <c r="C61" s="6" t="s">
        <v>15</v>
      </c>
      <c r="D61" s="6" t="s">
        <v>19</v>
      </c>
      <c r="E61" s="6" t="s">
        <v>359</v>
      </c>
      <c r="F61" s="41">
        <f>38.3-17</f>
        <v>21.299999999999997</v>
      </c>
      <c r="G61" s="41"/>
      <c r="H61" s="6"/>
    </row>
    <row r="62" spans="1:8" x14ac:dyDescent="0.4">
      <c r="A62" s="5">
        <v>45565</v>
      </c>
      <c r="B62" s="6" t="s">
        <v>33</v>
      </c>
      <c r="C62" s="6" t="s">
        <v>15</v>
      </c>
      <c r="D62" s="6" t="s">
        <v>19</v>
      </c>
      <c r="E62" s="6" t="s">
        <v>360</v>
      </c>
      <c r="F62" s="41">
        <f>14+6</f>
        <v>20</v>
      </c>
      <c r="G62" s="41"/>
      <c r="H62" s="41">
        <f>SUM(F4:F63)</f>
        <v>2545.9799999999996</v>
      </c>
    </row>
    <row r="63" spans="1:8" x14ac:dyDescent="0.4">
      <c r="A63" s="5"/>
      <c r="B63" s="6"/>
      <c r="C63" s="6" t="s">
        <v>15</v>
      </c>
      <c r="D63" s="6" t="s">
        <v>17</v>
      </c>
      <c r="E63" s="6" t="s">
        <v>18</v>
      </c>
      <c r="F63" s="41">
        <v>8</v>
      </c>
      <c r="G63" s="41"/>
      <c r="H63" s="6"/>
    </row>
    <row r="64" spans="1:8" x14ac:dyDescent="0.4">
      <c r="A64" s="5">
        <v>45568</v>
      </c>
      <c r="B64" s="6" t="s">
        <v>23</v>
      </c>
      <c r="C64" s="6" t="s">
        <v>15</v>
      </c>
      <c r="D64" s="6" t="s">
        <v>19</v>
      </c>
      <c r="E64" s="6">
        <v>10</v>
      </c>
      <c r="F64" s="41">
        <v>10</v>
      </c>
      <c r="G64" s="41"/>
      <c r="H64" s="6"/>
    </row>
    <row r="65" spans="1:8" x14ac:dyDescent="0.4">
      <c r="A65" s="5"/>
      <c r="B65" s="6"/>
      <c r="C65" s="6" t="s">
        <v>15</v>
      </c>
      <c r="D65" s="6" t="s">
        <v>17</v>
      </c>
      <c r="E65" s="6" t="s">
        <v>18</v>
      </c>
      <c r="F65" s="41">
        <v>8</v>
      </c>
      <c r="G65" s="41"/>
      <c r="H65" s="6"/>
    </row>
    <row r="66" spans="1:8" x14ac:dyDescent="0.4">
      <c r="A66" s="5">
        <v>45569</v>
      </c>
      <c r="B66" s="6" t="s">
        <v>24</v>
      </c>
      <c r="C66" s="6" t="s">
        <v>15</v>
      </c>
      <c r="D66" s="6" t="s">
        <v>19</v>
      </c>
      <c r="E66" s="6" t="s">
        <v>147</v>
      </c>
      <c r="F66" s="41">
        <f>3.5+12+12</f>
        <v>27.5</v>
      </c>
      <c r="G66" s="41"/>
      <c r="H66" s="6"/>
    </row>
    <row r="67" spans="1:8" x14ac:dyDescent="0.4">
      <c r="A67" s="5">
        <v>45570</v>
      </c>
      <c r="B67" s="6" t="s">
        <v>29</v>
      </c>
      <c r="C67" s="6" t="s">
        <v>15</v>
      </c>
      <c r="D67" s="6" t="s">
        <v>19</v>
      </c>
      <c r="E67" s="6" t="s">
        <v>109</v>
      </c>
      <c r="F67" s="41">
        <f>3.5+10+12</f>
        <v>25.5</v>
      </c>
      <c r="G67" s="41"/>
      <c r="H67" s="6"/>
    </row>
    <row r="68" spans="1:8" x14ac:dyDescent="0.4">
      <c r="A68" s="5">
        <v>45571</v>
      </c>
      <c r="B68" s="6" t="s">
        <v>31</v>
      </c>
      <c r="C68" s="6" t="s">
        <v>15</v>
      </c>
      <c r="D68" s="6" t="s">
        <v>19</v>
      </c>
      <c r="E68" s="6" t="s">
        <v>293</v>
      </c>
      <c r="F68" s="41">
        <f>4.5+12</f>
        <v>16.5</v>
      </c>
      <c r="G68" s="41"/>
      <c r="H68" s="6"/>
    </row>
    <row r="69" spans="1:8" x14ac:dyDescent="0.4">
      <c r="A69" s="5"/>
      <c r="B69" s="6"/>
      <c r="C69" s="6" t="s">
        <v>15</v>
      </c>
      <c r="D69" s="6" t="s">
        <v>17</v>
      </c>
      <c r="E69" s="6" t="s">
        <v>18</v>
      </c>
      <c r="F69" s="41">
        <v>8</v>
      </c>
      <c r="G69" s="41"/>
      <c r="H69" s="6"/>
    </row>
    <row r="70" spans="1:8" x14ac:dyDescent="0.4">
      <c r="A70" s="5">
        <v>45572</v>
      </c>
      <c r="B70" s="6" t="s">
        <v>33</v>
      </c>
      <c r="C70" s="6" t="s">
        <v>15</v>
      </c>
      <c r="D70" s="6" t="s">
        <v>19</v>
      </c>
      <c r="E70" s="6">
        <v>13</v>
      </c>
      <c r="F70" s="41">
        <v>13</v>
      </c>
      <c r="G70" s="41"/>
      <c r="H70" s="6"/>
    </row>
    <row r="71" spans="1:8" x14ac:dyDescent="0.4">
      <c r="A71" s="5"/>
      <c r="B71" s="6"/>
      <c r="C71" s="6" t="s">
        <v>15</v>
      </c>
      <c r="D71" s="6" t="s">
        <v>10</v>
      </c>
      <c r="E71" s="6">
        <v>8</v>
      </c>
      <c r="F71" s="41">
        <v>8</v>
      </c>
      <c r="G71" s="41"/>
      <c r="H71" s="6"/>
    </row>
    <row r="72" spans="1:8" x14ac:dyDescent="0.4">
      <c r="A72" s="5">
        <v>45573</v>
      </c>
      <c r="B72" s="6" t="s">
        <v>20</v>
      </c>
      <c r="C72" s="6" t="s">
        <v>15</v>
      </c>
      <c r="D72" s="6" t="s">
        <v>19</v>
      </c>
      <c r="E72" s="6" t="s">
        <v>361</v>
      </c>
      <c r="F72" s="41">
        <f>2.5+11+12</f>
        <v>25.5</v>
      </c>
      <c r="G72" s="41"/>
      <c r="H72" s="6"/>
    </row>
    <row r="73" spans="1:8" x14ac:dyDescent="0.4">
      <c r="A73" s="5"/>
      <c r="B73" s="6"/>
      <c r="C73" s="6" t="s">
        <v>15</v>
      </c>
      <c r="D73" s="71" t="s">
        <v>17</v>
      </c>
      <c r="E73" s="71" t="s">
        <v>80</v>
      </c>
      <c r="F73" s="72">
        <v>3</v>
      </c>
      <c r="G73" s="41"/>
      <c r="H73" s="6"/>
    </row>
    <row r="74" spans="1:8" x14ac:dyDescent="0.4">
      <c r="A74" s="5">
        <v>45574</v>
      </c>
      <c r="B74" s="6" t="s">
        <v>22</v>
      </c>
      <c r="C74" s="6" t="s">
        <v>15</v>
      </c>
      <c r="D74" s="6" t="s">
        <v>19</v>
      </c>
      <c r="E74" s="6" t="s">
        <v>362</v>
      </c>
      <c r="F74" s="41">
        <f>13+14</f>
        <v>27</v>
      </c>
      <c r="G74" s="41"/>
      <c r="H74" s="6"/>
    </row>
    <row r="75" spans="1:8" x14ac:dyDescent="0.4">
      <c r="A75" s="5">
        <v>45575</v>
      </c>
      <c r="B75" s="6" t="s">
        <v>23</v>
      </c>
      <c r="C75" s="6" t="s">
        <v>15</v>
      </c>
      <c r="D75" s="6" t="s">
        <v>19</v>
      </c>
      <c r="E75" s="6" t="s">
        <v>275</v>
      </c>
      <c r="F75" s="41">
        <f>13+11</f>
        <v>24</v>
      </c>
      <c r="G75" s="41"/>
      <c r="H75" s="6"/>
    </row>
    <row r="76" spans="1:8" x14ac:dyDescent="0.4">
      <c r="A76" s="5">
        <v>45576</v>
      </c>
      <c r="B76" s="6" t="s">
        <v>24</v>
      </c>
      <c r="C76" s="6" t="s">
        <v>15</v>
      </c>
      <c r="D76" s="6" t="s">
        <v>19</v>
      </c>
      <c r="E76" s="6" t="s">
        <v>363</v>
      </c>
      <c r="F76" s="41">
        <f>4.5+11+15</f>
        <v>30.5</v>
      </c>
      <c r="G76" s="41"/>
      <c r="H76" s="6"/>
    </row>
    <row r="77" spans="1:8" x14ac:dyDescent="0.4">
      <c r="A77" s="73">
        <v>45577</v>
      </c>
      <c r="B77" s="74" t="s">
        <v>29</v>
      </c>
      <c r="E77">
        <v>14</v>
      </c>
      <c r="F77" s="42">
        <v>14</v>
      </c>
    </row>
    <row r="78" spans="1:8" x14ac:dyDescent="0.4">
      <c r="A78" s="73">
        <v>45578</v>
      </c>
      <c r="B78" s="74" t="s">
        <v>31</v>
      </c>
      <c r="E78" s="27" t="s">
        <v>364</v>
      </c>
      <c r="F78" s="42">
        <f>4.5+14+11</f>
        <v>29.5</v>
      </c>
    </row>
    <row r="79" spans="1:8" x14ac:dyDescent="0.4">
      <c r="E79" s="27" t="s">
        <v>365</v>
      </c>
      <c r="F79" s="42">
        <v>55.3</v>
      </c>
    </row>
    <row r="80" spans="1:8" x14ac:dyDescent="0.4">
      <c r="A80" s="73">
        <v>45579</v>
      </c>
      <c r="E80" s="27" t="s">
        <v>366</v>
      </c>
      <c r="F80" s="42">
        <f>7+15+12</f>
        <v>34</v>
      </c>
    </row>
    <row r="81" spans="1:6" x14ac:dyDescent="0.4">
      <c r="E81" s="27" t="s">
        <v>128</v>
      </c>
      <c r="F81" s="42">
        <v>0.4</v>
      </c>
    </row>
    <row r="82" spans="1:6" x14ac:dyDescent="0.4">
      <c r="A82" s="73">
        <v>45580</v>
      </c>
      <c r="E82" s="27" t="s">
        <v>367</v>
      </c>
      <c r="F82" s="42">
        <f>4.5+16+13</f>
        <v>33.5</v>
      </c>
    </row>
    <row r="83" spans="1:6" x14ac:dyDescent="0.4">
      <c r="A83" s="73">
        <v>45581</v>
      </c>
      <c r="E83" s="27" t="s">
        <v>368</v>
      </c>
      <c r="F83" s="42">
        <f>4.5+12+13</f>
        <v>29.5</v>
      </c>
    </row>
    <row r="84" spans="1:6" x14ac:dyDescent="0.4">
      <c r="D84" s="77"/>
      <c r="E84" s="75" t="s">
        <v>351</v>
      </c>
      <c r="F84" s="76">
        <v>6</v>
      </c>
    </row>
  </sheetData>
  <protectedRanges>
    <protectedRange sqref="A4:H76" name="编辑区"/>
  </protectedRanges>
  <mergeCells count="2">
    <mergeCell ref="A1:B2"/>
    <mergeCell ref="C1:H2"/>
  </mergeCells>
  <phoneticPr fontId="1" type="noConversion"/>
  <dataValidations count="3">
    <dataValidation type="list" allowBlank="1" showInputMessage="1" showErrorMessage="1" sqref="D3:D76" xr:uid="{0C39E65E-7AFE-411F-A3A1-3A3123334C1A}">
      <formula1>"饮食,学习,生活,外务,增值,特别立项"</formula1>
    </dataValidation>
    <dataValidation type="list" allowBlank="1" showInputMessage="1" showErrorMessage="1" sqref="C3:C76" xr:uid="{476010A9-7F7E-41B9-83A5-0AEA2DF1439F}">
      <formula1>"收,支"</formula1>
    </dataValidation>
    <dataValidation type="list" allowBlank="1" showInputMessage="1" showErrorMessage="1" sqref="B4" xr:uid="{250E4AA3-E399-4805-9988-A68C9B300157}">
      <formula1>"MO,TU,WE,TH,FR,SA,SU"</formula1>
    </dataValidation>
  </dataValidations>
  <hyperlinks>
    <hyperlink ref="A1:B2" location="主页!A1" display="返回主页" xr:uid="{71B4091B-C5FE-40F3-85ED-ACEC46E5D22A}"/>
    <hyperlink ref="C1:H2" location="Sheet48最后数!A1" display="2024年九月综合财报" xr:uid="{91F902CA-6FB8-4CAE-A57E-BFC9280807F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7CCB-CD28-4603-AF28-55286B41F21F}">
  <sheetPr codeName="Sheet11"/>
  <dimension ref="A1:H76"/>
  <sheetViews>
    <sheetView workbookViewId="0">
      <selection sqref="A1:B2"/>
    </sheetView>
  </sheetViews>
  <sheetFormatPr defaultRowHeight="13.9" x14ac:dyDescent="0.4"/>
  <sheetData>
    <row r="1" spans="1:8" x14ac:dyDescent="0.4">
      <c r="A1" s="78" t="s">
        <v>1</v>
      </c>
      <c r="B1" s="78"/>
      <c r="C1" s="79" t="s">
        <v>2</v>
      </c>
      <c r="D1" s="78"/>
      <c r="E1" s="78"/>
      <c r="F1" s="78"/>
      <c r="G1" s="78"/>
      <c r="H1" s="78"/>
    </row>
    <row r="2" spans="1:8" x14ac:dyDescent="0.4">
      <c r="A2" s="78"/>
      <c r="B2" s="78"/>
      <c r="C2" s="78"/>
      <c r="D2" s="78"/>
      <c r="E2" s="78"/>
      <c r="F2" s="78"/>
      <c r="G2" s="78"/>
      <c r="H2" s="78"/>
    </row>
    <row r="3" spans="1:8" x14ac:dyDescent="0.4">
      <c r="A3" s="5" t="s">
        <v>0</v>
      </c>
      <c r="B3" s="6" t="s">
        <v>3</v>
      </c>
      <c r="C3" s="6" t="s">
        <v>5</v>
      </c>
      <c r="D3" s="6" t="s">
        <v>4</v>
      </c>
      <c r="E3" s="6" t="s">
        <v>6</v>
      </c>
      <c r="F3" s="6" t="s">
        <v>7</v>
      </c>
      <c r="G3" s="6" t="s">
        <v>8</v>
      </c>
      <c r="H3" s="6" t="s">
        <v>9</v>
      </c>
    </row>
    <row r="4" spans="1:8" x14ac:dyDescent="0.4">
      <c r="A4" s="5"/>
      <c r="B4" s="6"/>
      <c r="C4" s="6"/>
      <c r="D4" s="6"/>
      <c r="E4" s="6"/>
      <c r="F4" s="6"/>
      <c r="G4" s="6"/>
      <c r="H4" s="6"/>
    </row>
    <row r="5" spans="1:8" x14ac:dyDescent="0.4">
      <c r="A5" s="5"/>
      <c r="B5" s="6"/>
      <c r="C5" s="6"/>
      <c r="D5" s="6"/>
      <c r="E5" s="6"/>
      <c r="F5" s="6"/>
      <c r="G5" s="6"/>
      <c r="H5" s="6"/>
    </row>
    <row r="6" spans="1:8" x14ac:dyDescent="0.4">
      <c r="A6" s="5"/>
      <c r="B6" s="6"/>
      <c r="C6" s="6"/>
      <c r="D6" s="6"/>
      <c r="E6" s="6"/>
      <c r="F6" s="6"/>
      <c r="G6" s="6"/>
      <c r="H6" s="6"/>
    </row>
    <row r="7" spans="1:8" x14ac:dyDescent="0.4">
      <c r="A7" s="5"/>
      <c r="B7" s="6"/>
      <c r="C7" s="6"/>
      <c r="D7" s="6"/>
      <c r="E7" s="6"/>
      <c r="F7" s="6"/>
      <c r="G7" s="6"/>
      <c r="H7" s="6"/>
    </row>
    <row r="8" spans="1:8" x14ac:dyDescent="0.4">
      <c r="A8" s="5"/>
      <c r="B8" s="6"/>
      <c r="C8" s="6"/>
      <c r="D8" s="6"/>
      <c r="E8" s="6"/>
      <c r="F8" s="6"/>
      <c r="G8" s="6"/>
      <c r="H8" s="6"/>
    </row>
    <row r="9" spans="1:8" x14ac:dyDescent="0.4">
      <c r="A9" s="5"/>
      <c r="B9" s="6"/>
      <c r="C9" s="6"/>
      <c r="D9" s="6"/>
      <c r="E9" s="6"/>
      <c r="F9" s="6"/>
      <c r="G9" s="6"/>
      <c r="H9" s="6"/>
    </row>
    <row r="10" spans="1:8" x14ac:dyDescent="0.4">
      <c r="A10" s="5"/>
      <c r="B10" s="6"/>
      <c r="C10" s="6"/>
      <c r="D10" s="6"/>
      <c r="E10" s="6"/>
      <c r="F10" s="6"/>
      <c r="G10" s="6"/>
      <c r="H10" s="6"/>
    </row>
    <row r="11" spans="1:8" x14ac:dyDescent="0.4">
      <c r="A11" s="5"/>
      <c r="B11" s="6"/>
      <c r="C11" s="6"/>
      <c r="D11" s="6"/>
      <c r="E11" s="6"/>
      <c r="F11" s="6"/>
      <c r="G11" s="6"/>
      <c r="H11" s="6"/>
    </row>
    <row r="12" spans="1:8" x14ac:dyDescent="0.4">
      <c r="A12" s="5"/>
      <c r="B12" s="6"/>
      <c r="C12" s="6"/>
      <c r="D12" s="6"/>
      <c r="E12" s="6"/>
      <c r="F12" s="6"/>
      <c r="G12" s="6"/>
      <c r="H12" s="6"/>
    </row>
    <row r="13" spans="1:8" x14ac:dyDescent="0.4">
      <c r="A13" s="5"/>
      <c r="B13" s="6"/>
      <c r="C13" s="6"/>
      <c r="D13" s="6"/>
      <c r="E13" s="6"/>
      <c r="F13" s="6"/>
      <c r="G13" s="6"/>
      <c r="H13" s="6"/>
    </row>
    <row r="14" spans="1:8" x14ac:dyDescent="0.4">
      <c r="A14" s="5"/>
      <c r="B14" s="6"/>
      <c r="C14" s="6"/>
      <c r="D14" s="6"/>
      <c r="E14" s="6"/>
      <c r="F14" s="6"/>
      <c r="G14" s="6"/>
      <c r="H14" s="6"/>
    </row>
    <row r="15" spans="1:8" x14ac:dyDescent="0.4">
      <c r="A15" s="5"/>
      <c r="B15" s="6"/>
      <c r="C15" s="6"/>
      <c r="D15" s="6"/>
      <c r="E15" s="6"/>
      <c r="F15" s="6"/>
      <c r="G15" s="6"/>
      <c r="H15" s="6"/>
    </row>
    <row r="16" spans="1:8" x14ac:dyDescent="0.4">
      <c r="A16" s="5"/>
      <c r="B16" s="6"/>
      <c r="C16" s="6"/>
      <c r="D16" s="6"/>
      <c r="E16" s="6"/>
      <c r="F16" s="6"/>
      <c r="G16" s="6"/>
      <c r="H16" s="6"/>
    </row>
    <row r="17" spans="1:8" x14ac:dyDescent="0.4">
      <c r="A17" s="5"/>
      <c r="B17" s="6"/>
      <c r="C17" s="6"/>
      <c r="D17" s="6"/>
      <c r="E17" s="6"/>
      <c r="F17" s="6"/>
      <c r="G17" s="6"/>
      <c r="H17" s="6"/>
    </row>
    <row r="18" spans="1:8" x14ac:dyDescent="0.4">
      <c r="A18" s="5"/>
      <c r="B18" s="6"/>
      <c r="C18" s="6"/>
      <c r="D18" s="6"/>
      <c r="E18" s="6"/>
      <c r="F18" s="6"/>
      <c r="G18" s="6"/>
      <c r="H18" s="6"/>
    </row>
    <row r="19" spans="1:8" x14ac:dyDescent="0.4">
      <c r="A19" s="5"/>
      <c r="B19" s="6"/>
      <c r="C19" s="6"/>
      <c r="D19" s="6"/>
      <c r="E19" s="6"/>
      <c r="F19" s="6"/>
      <c r="G19" s="6"/>
      <c r="H19" s="6"/>
    </row>
    <row r="20" spans="1:8" x14ac:dyDescent="0.4">
      <c r="A20" s="5"/>
      <c r="B20" s="6"/>
      <c r="C20" s="6"/>
      <c r="D20" s="6"/>
      <c r="E20" s="6"/>
      <c r="F20" s="6"/>
      <c r="G20" s="6"/>
      <c r="H20" s="6"/>
    </row>
    <row r="21" spans="1:8" x14ac:dyDescent="0.4">
      <c r="A21" s="5"/>
      <c r="B21" s="6"/>
      <c r="C21" s="6"/>
      <c r="D21" s="6"/>
      <c r="E21" s="6"/>
      <c r="F21" s="6"/>
      <c r="G21" s="6"/>
      <c r="H21" s="6"/>
    </row>
    <row r="22" spans="1:8" x14ac:dyDescent="0.4">
      <c r="A22" s="5"/>
      <c r="B22" s="6"/>
      <c r="C22" s="6"/>
      <c r="D22" s="6"/>
      <c r="E22" s="6"/>
      <c r="F22" s="6"/>
      <c r="G22" s="6"/>
      <c r="H22" s="6"/>
    </row>
    <row r="23" spans="1:8" x14ac:dyDescent="0.4">
      <c r="A23" s="5"/>
      <c r="B23" s="6"/>
      <c r="C23" s="6"/>
      <c r="D23" s="6"/>
      <c r="E23" s="6"/>
      <c r="F23" s="6"/>
      <c r="G23" s="6"/>
      <c r="H23" s="6"/>
    </row>
    <row r="24" spans="1:8" x14ac:dyDescent="0.4">
      <c r="A24" s="5"/>
      <c r="B24" s="6"/>
      <c r="C24" s="6"/>
      <c r="D24" s="6"/>
      <c r="E24" s="6"/>
      <c r="F24" s="6"/>
      <c r="G24" s="6"/>
      <c r="H24" s="6"/>
    </row>
    <row r="25" spans="1:8" x14ac:dyDescent="0.4">
      <c r="A25" s="5"/>
      <c r="B25" s="6"/>
      <c r="C25" s="6"/>
      <c r="D25" s="6"/>
      <c r="E25" s="6"/>
      <c r="F25" s="6"/>
      <c r="G25" s="6"/>
      <c r="H25" s="6"/>
    </row>
    <row r="26" spans="1:8" x14ac:dyDescent="0.4">
      <c r="A26" s="5"/>
      <c r="B26" s="6"/>
      <c r="C26" s="6"/>
      <c r="D26" s="6"/>
      <c r="E26" s="6"/>
      <c r="F26" s="6"/>
      <c r="G26" s="6"/>
      <c r="H26" s="6"/>
    </row>
    <row r="27" spans="1:8" x14ac:dyDescent="0.4">
      <c r="A27" s="5"/>
      <c r="B27" s="6"/>
      <c r="C27" s="6"/>
      <c r="D27" s="6"/>
      <c r="E27" s="6"/>
      <c r="F27" s="6"/>
      <c r="G27" s="6"/>
      <c r="H27" s="6"/>
    </row>
    <row r="28" spans="1:8" x14ac:dyDescent="0.4">
      <c r="A28" s="5"/>
      <c r="B28" s="6"/>
      <c r="C28" s="6"/>
      <c r="D28" s="6"/>
      <c r="E28" s="6"/>
      <c r="F28" s="6"/>
      <c r="G28" s="6"/>
      <c r="H28" s="6"/>
    </row>
    <row r="29" spans="1:8" x14ac:dyDescent="0.4">
      <c r="A29" s="5"/>
      <c r="B29" s="6"/>
      <c r="C29" s="6"/>
      <c r="D29" s="6"/>
      <c r="E29" s="6"/>
      <c r="F29" s="6"/>
      <c r="G29" s="6"/>
      <c r="H29" s="6"/>
    </row>
    <row r="30" spans="1:8" x14ac:dyDescent="0.4">
      <c r="A30" s="5"/>
      <c r="B30" s="6"/>
      <c r="C30" s="6"/>
      <c r="D30" s="6"/>
      <c r="E30" s="6"/>
      <c r="F30" s="6"/>
      <c r="G30" s="6"/>
      <c r="H30" s="6"/>
    </row>
    <row r="31" spans="1:8" x14ac:dyDescent="0.4">
      <c r="A31" s="5"/>
      <c r="B31" s="6"/>
      <c r="C31" s="6"/>
      <c r="D31" s="6"/>
      <c r="E31" s="6"/>
      <c r="F31" s="6"/>
      <c r="G31" s="6"/>
      <c r="H31" s="6"/>
    </row>
    <row r="32" spans="1:8" x14ac:dyDescent="0.4">
      <c r="A32" s="5"/>
      <c r="B32" s="6"/>
      <c r="C32" s="6"/>
      <c r="D32" s="6"/>
      <c r="E32" s="6"/>
      <c r="F32" s="6"/>
      <c r="G32" s="6"/>
      <c r="H32" s="6"/>
    </row>
    <row r="33" spans="1:8" x14ac:dyDescent="0.4">
      <c r="A33" s="5"/>
      <c r="B33" s="6"/>
      <c r="C33" s="6"/>
      <c r="D33" s="6"/>
      <c r="E33" s="6"/>
      <c r="F33" s="6"/>
      <c r="G33" s="6"/>
      <c r="H33" s="6"/>
    </row>
    <row r="34" spans="1:8" x14ac:dyDescent="0.4">
      <c r="A34" s="5"/>
      <c r="B34" s="6"/>
      <c r="C34" s="6"/>
      <c r="D34" s="6"/>
      <c r="E34" s="6"/>
      <c r="F34" s="6"/>
      <c r="G34" s="6"/>
      <c r="H34" s="6"/>
    </row>
    <row r="35" spans="1:8" x14ac:dyDescent="0.4">
      <c r="A35" s="5"/>
      <c r="B35" s="6"/>
      <c r="C35" s="6"/>
      <c r="D35" s="6"/>
      <c r="E35" s="6"/>
      <c r="F35" s="6"/>
      <c r="G35" s="6"/>
      <c r="H35" s="6"/>
    </row>
    <row r="36" spans="1:8" x14ac:dyDescent="0.4">
      <c r="A36" s="5"/>
      <c r="B36" s="6"/>
      <c r="C36" s="6"/>
      <c r="D36" s="6"/>
      <c r="E36" s="6"/>
      <c r="F36" s="6"/>
      <c r="G36" s="6"/>
      <c r="H36" s="6"/>
    </row>
    <row r="37" spans="1:8" x14ac:dyDescent="0.4">
      <c r="A37" s="5"/>
      <c r="B37" s="6"/>
      <c r="C37" s="6"/>
      <c r="D37" s="6"/>
      <c r="E37" s="6"/>
      <c r="F37" s="6"/>
      <c r="G37" s="6"/>
      <c r="H37" s="6"/>
    </row>
    <row r="38" spans="1:8" x14ac:dyDescent="0.4">
      <c r="A38" s="5"/>
      <c r="B38" s="6"/>
      <c r="C38" s="6"/>
      <c r="D38" s="6"/>
      <c r="E38" s="6"/>
      <c r="F38" s="6"/>
      <c r="G38" s="6"/>
      <c r="H38" s="6"/>
    </row>
    <row r="39" spans="1:8" x14ac:dyDescent="0.4">
      <c r="A39" s="5"/>
      <c r="B39" s="6"/>
      <c r="C39" s="6"/>
      <c r="D39" s="6"/>
      <c r="E39" s="6"/>
      <c r="F39" s="6"/>
      <c r="G39" s="6"/>
      <c r="H39" s="6"/>
    </row>
    <row r="40" spans="1:8" x14ac:dyDescent="0.4">
      <c r="A40" s="5"/>
      <c r="B40" s="6"/>
      <c r="C40" s="6"/>
      <c r="D40" s="6"/>
      <c r="E40" s="6"/>
      <c r="F40" s="6"/>
      <c r="G40" s="6"/>
      <c r="H40" s="6"/>
    </row>
    <row r="41" spans="1:8" x14ac:dyDescent="0.4">
      <c r="A41" s="5"/>
      <c r="B41" s="6"/>
      <c r="C41" s="6"/>
      <c r="D41" s="6"/>
      <c r="E41" s="6"/>
      <c r="F41" s="6"/>
      <c r="G41" s="6"/>
      <c r="H41" s="6"/>
    </row>
    <row r="42" spans="1:8" x14ac:dyDescent="0.4">
      <c r="A42" s="5"/>
      <c r="B42" s="6"/>
      <c r="C42" s="6"/>
      <c r="D42" s="6"/>
      <c r="E42" s="6"/>
      <c r="F42" s="6"/>
      <c r="G42" s="6"/>
      <c r="H42" s="6"/>
    </row>
    <row r="43" spans="1:8" x14ac:dyDescent="0.4">
      <c r="A43" s="5"/>
      <c r="B43" s="6"/>
      <c r="C43" s="6"/>
      <c r="D43" s="6"/>
      <c r="E43" s="6"/>
      <c r="F43" s="6"/>
      <c r="G43" s="6"/>
      <c r="H43" s="6"/>
    </row>
    <row r="44" spans="1:8" x14ac:dyDescent="0.4">
      <c r="A44" s="5"/>
      <c r="B44" s="6"/>
      <c r="C44" s="6"/>
      <c r="D44" s="6"/>
      <c r="E44" s="6"/>
      <c r="F44" s="6"/>
      <c r="G44" s="6"/>
      <c r="H44" s="6"/>
    </row>
    <row r="45" spans="1:8" x14ac:dyDescent="0.4">
      <c r="A45" s="5"/>
      <c r="B45" s="6"/>
      <c r="C45" s="6"/>
      <c r="D45" s="6"/>
      <c r="E45" s="6"/>
      <c r="F45" s="6"/>
      <c r="G45" s="6"/>
      <c r="H45" s="6"/>
    </row>
    <row r="46" spans="1:8" x14ac:dyDescent="0.4">
      <c r="A46" s="5"/>
      <c r="B46" s="6"/>
      <c r="C46" s="6"/>
      <c r="D46" s="6"/>
      <c r="E46" s="6"/>
      <c r="F46" s="6"/>
      <c r="G46" s="6"/>
      <c r="H46" s="6"/>
    </row>
    <row r="47" spans="1:8" x14ac:dyDescent="0.4">
      <c r="A47" s="5"/>
      <c r="B47" s="6"/>
      <c r="C47" s="6"/>
      <c r="D47" s="6"/>
      <c r="E47" s="6"/>
      <c r="F47" s="6"/>
      <c r="G47" s="6"/>
      <c r="H47" s="6"/>
    </row>
    <row r="48" spans="1:8" x14ac:dyDescent="0.4">
      <c r="A48" s="5"/>
      <c r="B48" s="6"/>
      <c r="C48" s="6"/>
      <c r="D48" s="6"/>
      <c r="E48" s="6"/>
      <c r="F48" s="6"/>
      <c r="G48" s="6"/>
      <c r="H48" s="6"/>
    </row>
    <row r="49" spans="1:8" x14ac:dyDescent="0.4">
      <c r="A49" s="5"/>
      <c r="B49" s="6"/>
      <c r="C49" s="6"/>
      <c r="D49" s="6"/>
      <c r="E49" s="6"/>
      <c r="F49" s="6"/>
      <c r="G49" s="6"/>
      <c r="H49" s="6"/>
    </row>
    <row r="50" spans="1:8" x14ac:dyDescent="0.4">
      <c r="A50" s="5"/>
      <c r="B50" s="6"/>
      <c r="C50" s="6"/>
      <c r="D50" s="6"/>
      <c r="E50" s="6"/>
      <c r="F50" s="6"/>
      <c r="G50" s="6"/>
      <c r="H50" s="6"/>
    </row>
    <row r="51" spans="1:8" x14ac:dyDescent="0.4">
      <c r="A51" s="5"/>
      <c r="B51" s="6"/>
      <c r="C51" s="6"/>
      <c r="D51" s="6"/>
      <c r="E51" s="6"/>
      <c r="F51" s="6"/>
      <c r="G51" s="6"/>
      <c r="H51" s="6"/>
    </row>
    <row r="52" spans="1:8" x14ac:dyDescent="0.4">
      <c r="A52" s="5"/>
      <c r="B52" s="6"/>
      <c r="C52" s="6"/>
      <c r="D52" s="6"/>
      <c r="E52" s="6"/>
      <c r="F52" s="6"/>
      <c r="G52" s="6"/>
      <c r="H52" s="6"/>
    </row>
    <row r="53" spans="1:8" x14ac:dyDescent="0.4">
      <c r="A53" s="5"/>
      <c r="B53" s="6"/>
      <c r="C53" s="6"/>
      <c r="D53" s="6"/>
      <c r="E53" s="6"/>
      <c r="F53" s="6"/>
      <c r="G53" s="6"/>
      <c r="H53" s="6"/>
    </row>
    <row r="54" spans="1:8" x14ac:dyDescent="0.4">
      <c r="A54" s="5"/>
      <c r="B54" s="6"/>
      <c r="C54" s="6"/>
      <c r="D54" s="6"/>
      <c r="E54" s="6"/>
      <c r="F54" s="6"/>
      <c r="G54" s="6"/>
      <c r="H54" s="6"/>
    </row>
    <row r="55" spans="1:8" x14ac:dyDescent="0.4">
      <c r="A55" s="5"/>
      <c r="B55" s="6"/>
      <c r="C55" s="6"/>
      <c r="D55" s="6"/>
      <c r="E55" s="6"/>
      <c r="F55" s="6"/>
      <c r="G55" s="6"/>
      <c r="H55" s="6"/>
    </row>
    <row r="56" spans="1:8" x14ac:dyDescent="0.4">
      <c r="A56" s="5"/>
      <c r="B56" s="6"/>
      <c r="C56" s="6"/>
      <c r="D56" s="6"/>
      <c r="E56" s="6"/>
      <c r="F56" s="6"/>
      <c r="G56" s="6"/>
      <c r="H56" s="6"/>
    </row>
    <row r="57" spans="1:8" x14ac:dyDescent="0.4">
      <c r="A57" s="5"/>
      <c r="B57" s="6"/>
      <c r="C57" s="6"/>
      <c r="D57" s="6"/>
      <c r="E57" s="6"/>
      <c r="F57" s="6"/>
      <c r="G57" s="6"/>
      <c r="H57" s="6"/>
    </row>
    <row r="58" spans="1:8" x14ac:dyDescent="0.4">
      <c r="A58" s="5"/>
      <c r="B58" s="6"/>
      <c r="C58" s="6"/>
      <c r="D58" s="6"/>
      <c r="E58" s="6"/>
      <c r="F58" s="6"/>
      <c r="G58" s="6"/>
      <c r="H58" s="6"/>
    </row>
    <row r="59" spans="1:8" x14ac:dyDescent="0.4">
      <c r="A59" s="5"/>
      <c r="B59" s="6"/>
      <c r="C59" s="6"/>
      <c r="D59" s="6"/>
      <c r="E59" s="6"/>
      <c r="F59" s="6"/>
      <c r="G59" s="6"/>
      <c r="H59" s="6"/>
    </row>
    <row r="60" spans="1:8" x14ac:dyDescent="0.4">
      <c r="A60" s="5"/>
      <c r="B60" s="6"/>
      <c r="C60" s="6"/>
      <c r="D60" s="6"/>
      <c r="E60" s="6"/>
      <c r="F60" s="6"/>
      <c r="G60" s="6"/>
      <c r="H60" s="6"/>
    </row>
    <row r="61" spans="1:8" x14ac:dyDescent="0.4">
      <c r="A61" s="5"/>
      <c r="B61" s="6"/>
      <c r="C61" s="6"/>
      <c r="D61" s="6"/>
      <c r="E61" s="6"/>
      <c r="F61" s="6"/>
      <c r="G61" s="6"/>
      <c r="H61" s="6"/>
    </row>
    <row r="62" spans="1:8" x14ac:dyDescent="0.4">
      <c r="A62" s="5"/>
      <c r="B62" s="6"/>
      <c r="C62" s="6"/>
      <c r="D62" s="6"/>
      <c r="E62" s="6"/>
      <c r="F62" s="6"/>
      <c r="G62" s="6"/>
      <c r="H62" s="6"/>
    </row>
    <row r="63" spans="1:8" x14ac:dyDescent="0.4">
      <c r="A63" s="5"/>
      <c r="B63" s="6"/>
      <c r="C63" s="6"/>
      <c r="D63" s="6"/>
      <c r="E63" s="6"/>
      <c r="F63" s="6"/>
      <c r="G63" s="6"/>
      <c r="H63" s="6"/>
    </row>
    <row r="64" spans="1:8" x14ac:dyDescent="0.4">
      <c r="A64" s="5"/>
      <c r="B64" s="6"/>
      <c r="C64" s="6"/>
      <c r="D64" s="6"/>
      <c r="E64" s="6"/>
      <c r="F64" s="6"/>
      <c r="G64" s="6"/>
      <c r="H64" s="6"/>
    </row>
    <row r="65" spans="1:8" x14ac:dyDescent="0.4">
      <c r="A65" s="5"/>
      <c r="B65" s="6"/>
      <c r="C65" s="6"/>
      <c r="D65" s="6"/>
      <c r="E65" s="6"/>
      <c r="F65" s="6"/>
      <c r="G65" s="6"/>
      <c r="H65" s="6"/>
    </row>
    <row r="66" spans="1:8" x14ac:dyDescent="0.4">
      <c r="A66" s="5"/>
      <c r="B66" s="6"/>
      <c r="C66" s="6"/>
      <c r="D66" s="6"/>
      <c r="E66" s="6"/>
      <c r="F66" s="6"/>
      <c r="G66" s="6"/>
      <c r="H66" s="6"/>
    </row>
    <row r="67" spans="1:8" x14ac:dyDescent="0.4">
      <c r="A67" s="5"/>
      <c r="B67" s="6"/>
      <c r="C67" s="6"/>
      <c r="D67" s="6"/>
      <c r="E67" s="6"/>
      <c r="F67" s="6"/>
      <c r="G67" s="6"/>
      <c r="H67" s="6"/>
    </row>
    <row r="68" spans="1:8" x14ac:dyDescent="0.4">
      <c r="A68" s="5"/>
      <c r="B68" s="6"/>
      <c r="C68" s="6"/>
      <c r="D68" s="6"/>
      <c r="E68" s="6"/>
      <c r="F68" s="6"/>
      <c r="G68" s="6"/>
      <c r="H68" s="6"/>
    </row>
    <row r="69" spans="1:8" x14ac:dyDescent="0.4">
      <c r="A69" s="5"/>
      <c r="B69" s="6"/>
      <c r="C69" s="6"/>
      <c r="D69" s="6"/>
      <c r="E69" s="6"/>
      <c r="F69" s="6"/>
      <c r="G69" s="6"/>
      <c r="H69" s="6"/>
    </row>
    <row r="70" spans="1:8" x14ac:dyDescent="0.4">
      <c r="A70" s="5"/>
      <c r="B70" s="6"/>
      <c r="C70" s="6"/>
      <c r="D70" s="6"/>
      <c r="E70" s="6"/>
      <c r="F70" s="6"/>
      <c r="G70" s="6"/>
      <c r="H70" s="6"/>
    </row>
    <row r="71" spans="1:8" x14ac:dyDescent="0.4">
      <c r="A71" s="5"/>
      <c r="B71" s="6"/>
      <c r="C71" s="6"/>
      <c r="D71" s="6"/>
      <c r="E71" s="6"/>
      <c r="F71" s="6"/>
      <c r="G71" s="6"/>
      <c r="H71" s="6"/>
    </row>
    <row r="72" spans="1:8" x14ac:dyDescent="0.4">
      <c r="A72" s="5"/>
      <c r="B72" s="6"/>
      <c r="C72" s="6"/>
      <c r="D72" s="6"/>
      <c r="E72" s="6"/>
      <c r="F72" s="6"/>
      <c r="G72" s="6"/>
      <c r="H72" s="6"/>
    </row>
    <row r="73" spans="1:8" x14ac:dyDescent="0.4">
      <c r="A73" s="5"/>
      <c r="B73" s="6"/>
      <c r="C73" s="6"/>
      <c r="D73" s="6"/>
      <c r="E73" s="6"/>
      <c r="F73" s="6"/>
      <c r="G73" s="6"/>
      <c r="H73" s="6"/>
    </row>
    <row r="74" spans="1:8" x14ac:dyDescent="0.4">
      <c r="A74" s="5"/>
      <c r="B74" s="6"/>
      <c r="C74" s="6"/>
      <c r="D74" s="6"/>
      <c r="E74" s="6"/>
      <c r="F74" s="6"/>
      <c r="G74" s="6"/>
      <c r="H74" s="6"/>
    </row>
    <row r="75" spans="1:8" x14ac:dyDescent="0.4">
      <c r="A75" s="5"/>
      <c r="B75" s="6"/>
      <c r="C75" s="6"/>
      <c r="D75" s="6"/>
      <c r="E75" s="6"/>
      <c r="F75" s="6"/>
      <c r="G75" s="6"/>
      <c r="H75" s="6"/>
    </row>
    <row r="76" spans="1:8" x14ac:dyDescent="0.4">
      <c r="A76" s="5"/>
      <c r="B76" s="6"/>
      <c r="C76" s="6"/>
      <c r="D76" s="6"/>
      <c r="E76" s="6"/>
      <c r="F76" s="6"/>
      <c r="G76" s="6"/>
      <c r="H76" s="6"/>
    </row>
  </sheetData>
  <protectedRanges>
    <protectedRange sqref="A4:H76" name="编辑区"/>
  </protectedRanges>
  <mergeCells count="2">
    <mergeCell ref="A1:B2"/>
    <mergeCell ref="C1:H2"/>
  </mergeCells>
  <phoneticPr fontId="1" type="noConversion"/>
  <dataValidations count="3">
    <dataValidation type="list" allowBlank="1" showInputMessage="1" showErrorMessage="1" sqref="D1:D76" xr:uid="{93E6B450-9467-49DC-9CD7-BBB9929D41B6}">
      <formula1>"饮食,学习,生活,外务,增值,特别立项"</formula1>
    </dataValidation>
    <dataValidation type="list" allowBlank="1" showInputMessage="1" showErrorMessage="1" sqref="C1:C76" xr:uid="{E9250212-2894-437E-A0E1-1CA3E487A19A}">
      <formula1>"收,支"</formula1>
    </dataValidation>
    <dataValidation type="list" allowBlank="1" showInputMessage="1" showErrorMessage="1" sqref="B4" xr:uid="{C6FBF9AF-EE76-4E4A-95FC-A3A1D14AE1B1}">
      <formula1>"MO,TU,WE,TH,FR,SA,SU"</formula1>
    </dataValidation>
  </dataValidations>
  <hyperlinks>
    <hyperlink ref="A1:B2" location="主页!A1" display="返回主页" xr:uid="{881A6803-CC10-4B3A-8F12-5CC82A1E599C}"/>
    <hyperlink ref="C1:H2" location="Sheet48最后数!A1" display="2024年一月综合财报" xr:uid="{3C745E8B-7811-48C2-900A-D0CD81FBBEE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402E-2CC8-4FBF-9313-2022FE2DA05A}">
  <sheetPr codeName="Sheet12"/>
  <dimension ref="A1:H76"/>
  <sheetViews>
    <sheetView workbookViewId="0">
      <selection activeCell="C1" sqref="C1:H2"/>
    </sheetView>
  </sheetViews>
  <sheetFormatPr defaultRowHeight="13.9" x14ac:dyDescent="0.4"/>
  <sheetData>
    <row r="1" spans="1:8" x14ac:dyDescent="0.4">
      <c r="A1" s="78" t="s">
        <v>1</v>
      </c>
      <c r="B1" s="78"/>
      <c r="C1" s="79" t="s">
        <v>2</v>
      </c>
      <c r="D1" s="78"/>
      <c r="E1" s="78"/>
      <c r="F1" s="78"/>
      <c r="G1" s="78"/>
      <c r="H1" s="78"/>
    </row>
    <row r="2" spans="1:8" x14ac:dyDescent="0.4">
      <c r="A2" s="78"/>
      <c r="B2" s="78"/>
      <c r="C2" s="78"/>
      <c r="D2" s="78"/>
      <c r="E2" s="78"/>
      <c r="F2" s="78"/>
      <c r="G2" s="78"/>
      <c r="H2" s="78"/>
    </row>
    <row r="3" spans="1:8" x14ac:dyDescent="0.4">
      <c r="A3" s="5" t="s">
        <v>0</v>
      </c>
      <c r="B3" s="6" t="s">
        <v>3</v>
      </c>
      <c r="C3" s="6" t="s">
        <v>5</v>
      </c>
      <c r="D3" s="6" t="s">
        <v>4</v>
      </c>
      <c r="E3" s="6" t="s">
        <v>6</v>
      </c>
      <c r="F3" s="6" t="s">
        <v>7</v>
      </c>
      <c r="G3" s="6" t="s">
        <v>8</v>
      </c>
      <c r="H3" s="6" t="s">
        <v>9</v>
      </c>
    </row>
    <row r="4" spans="1:8" x14ac:dyDescent="0.4">
      <c r="A4" s="5"/>
      <c r="B4" s="6"/>
      <c r="C4" s="6"/>
      <c r="D4" s="6"/>
      <c r="E4" s="6"/>
      <c r="F4" s="6"/>
      <c r="G4" s="6"/>
      <c r="H4" s="6"/>
    </row>
    <row r="5" spans="1:8" x14ac:dyDescent="0.4">
      <c r="A5" s="5"/>
      <c r="B5" s="6"/>
      <c r="C5" s="6"/>
      <c r="D5" s="6"/>
      <c r="E5" s="6"/>
      <c r="F5" s="6"/>
      <c r="G5" s="6"/>
      <c r="H5" s="6"/>
    </row>
    <row r="6" spans="1:8" x14ac:dyDescent="0.4">
      <c r="A6" s="5"/>
      <c r="B6" s="6"/>
      <c r="C6" s="6"/>
      <c r="D6" s="6"/>
      <c r="E6" s="6"/>
      <c r="F6" s="6"/>
      <c r="G6" s="6"/>
      <c r="H6" s="6"/>
    </row>
    <row r="7" spans="1:8" x14ac:dyDescent="0.4">
      <c r="A7" s="5"/>
      <c r="B7" s="6"/>
      <c r="C7" s="6"/>
      <c r="D7" s="6"/>
      <c r="E7" s="6"/>
      <c r="F7" s="6"/>
      <c r="G7" s="6"/>
      <c r="H7" s="6"/>
    </row>
    <row r="8" spans="1:8" x14ac:dyDescent="0.4">
      <c r="A8" s="5"/>
      <c r="B8" s="6"/>
      <c r="C8" s="6"/>
      <c r="D8" s="6"/>
      <c r="E8" s="6"/>
      <c r="F8" s="6"/>
      <c r="G8" s="6"/>
      <c r="H8" s="6"/>
    </row>
    <row r="9" spans="1:8" x14ac:dyDescent="0.4">
      <c r="A9" s="5"/>
      <c r="B9" s="6"/>
      <c r="C9" s="6"/>
      <c r="D9" s="6"/>
      <c r="E9" s="6"/>
      <c r="F9" s="6"/>
      <c r="G9" s="6"/>
      <c r="H9" s="6"/>
    </row>
    <row r="10" spans="1:8" x14ac:dyDescent="0.4">
      <c r="A10" s="5"/>
      <c r="B10" s="6"/>
      <c r="C10" s="6"/>
      <c r="D10" s="6"/>
      <c r="E10" s="6"/>
      <c r="F10" s="6"/>
      <c r="G10" s="6"/>
      <c r="H10" s="6"/>
    </row>
    <row r="11" spans="1:8" x14ac:dyDescent="0.4">
      <c r="A11" s="5"/>
      <c r="B11" s="6"/>
      <c r="C11" s="6"/>
      <c r="D11" s="6"/>
      <c r="E11" s="6"/>
      <c r="F11" s="6"/>
      <c r="G11" s="6"/>
      <c r="H11" s="6"/>
    </row>
    <row r="12" spans="1:8" x14ac:dyDescent="0.4">
      <c r="A12" s="5"/>
      <c r="B12" s="6"/>
      <c r="C12" s="6"/>
      <c r="D12" s="6"/>
      <c r="E12" s="6"/>
      <c r="F12" s="6"/>
      <c r="G12" s="6"/>
      <c r="H12" s="6"/>
    </row>
    <row r="13" spans="1:8" x14ac:dyDescent="0.4">
      <c r="A13" s="5"/>
      <c r="B13" s="6"/>
      <c r="C13" s="6"/>
      <c r="D13" s="6"/>
      <c r="E13" s="6"/>
      <c r="F13" s="6"/>
      <c r="G13" s="6"/>
      <c r="H13" s="6"/>
    </row>
    <row r="14" spans="1:8" x14ac:dyDescent="0.4">
      <c r="A14" s="5"/>
      <c r="B14" s="6"/>
      <c r="C14" s="6"/>
      <c r="D14" s="6"/>
      <c r="E14" s="6"/>
      <c r="F14" s="6"/>
      <c r="G14" s="6"/>
      <c r="H14" s="6"/>
    </row>
    <row r="15" spans="1:8" x14ac:dyDescent="0.4">
      <c r="A15" s="5"/>
      <c r="B15" s="6"/>
      <c r="C15" s="6"/>
      <c r="D15" s="6"/>
      <c r="E15" s="6"/>
      <c r="F15" s="6"/>
      <c r="G15" s="6"/>
      <c r="H15" s="6"/>
    </row>
    <row r="16" spans="1:8" x14ac:dyDescent="0.4">
      <c r="A16" s="5"/>
      <c r="B16" s="6"/>
      <c r="C16" s="6"/>
      <c r="D16" s="6"/>
      <c r="E16" s="6"/>
      <c r="F16" s="6"/>
      <c r="G16" s="6"/>
      <c r="H16" s="6"/>
    </row>
    <row r="17" spans="1:8" x14ac:dyDescent="0.4">
      <c r="A17" s="5"/>
      <c r="B17" s="6"/>
      <c r="C17" s="6"/>
      <c r="D17" s="6"/>
      <c r="E17" s="6"/>
      <c r="F17" s="6"/>
      <c r="G17" s="6"/>
      <c r="H17" s="6"/>
    </row>
    <row r="18" spans="1:8" x14ac:dyDescent="0.4">
      <c r="A18" s="5"/>
      <c r="B18" s="6"/>
      <c r="C18" s="6"/>
      <c r="D18" s="6"/>
      <c r="E18" s="6"/>
      <c r="F18" s="6"/>
      <c r="G18" s="6"/>
      <c r="H18" s="6"/>
    </row>
    <row r="19" spans="1:8" x14ac:dyDescent="0.4">
      <c r="A19" s="5"/>
      <c r="B19" s="6"/>
      <c r="C19" s="6"/>
      <c r="D19" s="6"/>
      <c r="E19" s="6"/>
      <c r="F19" s="6"/>
      <c r="G19" s="6"/>
      <c r="H19" s="6"/>
    </row>
    <row r="20" spans="1:8" x14ac:dyDescent="0.4">
      <c r="A20" s="5"/>
      <c r="B20" s="6"/>
      <c r="C20" s="6"/>
      <c r="D20" s="6"/>
      <c r="E20" s="6"/>
      <c r="F20" s="6"/>
      <c r="G20" s="6"/>
      <c r="H20" s="6"/>
    </row>
    <row r="21" spans="1:8" x14ac:dyDescent="0.4">
      <c r="A21" s="5"/>
      <c r="B21" s="6"/>
      <c r="C21" s="6"/>
      <c r="D21" s="6"/>
      <c r="E21" s="6"/>
      <c r="F21" s="6"/>
      <c r="G21" s="6"/>
      <c r="H21" s="6"/>
    </row>
    <row r="22" spans="1:8" x14ac:dyDescent="0.4">
      <c r="A22" s="5"/>
      <c r="B22" s="6"/>
      <c r="C22" s="6"/>
      <c r="D22" s="6"/>
      <c r="E22" s="6"/>
      <c r="F22" s="6"/>
      <c r="G22" s="6"/>
      <c r="H22" s="6"/>
    </row>
    <row r="23" spans="1:8" x14ac:dyDescent="0.4">
      <c r="A23" s="5"/>
      <c r="B23" s="6"/>
      <c r="C23" s="6"/>
      <c r="D23" s="6"/>
      <c r="E23" s="6"/>
      <c r="F23" s="6"/>
      <c r="G23" s="6"/>
      <c r="H23" s="6"/>
    </row>
    <row r="24" spans="1:8" x14ac:dyDescent="0.4">
      <c r="A24" s="5"/>
      <c r="B24" s="6"/>
      <c r="C24" s="6"/>
      <c r="D24" s="6"/>
      <c r="E24" s="6"/>
      <c r="F24" s="6"/>
      <c r="G24" s="6"/>
      <c r="H24" s="6"/>
    </row>
    <row r="25" spans="1:8" x14ac:dyDescent="0.4">
      <c r="A25" s="5"/>
      <c r="B25" s="6"/>
      <c r="C25" s="6"/>
      <c r="D25" s="6"/>
      <c r="E25" s="6"/>
      <c r="F25" s="6"/>
      <c r="G25" s="6"/>
      <c r="H25" s="6"/>
    </row>
    <row r="26" spans="1:8" x14ac:dyDescent="0.4">
      <c r="A26" s="5"/>
      <c r="B26" s="6"/>
      <c r="C26" s="6"/>
      <c r="D26" s="6"/>
      <c r="E26" s="6"/>
      <c r="F26" s="6"/>
      <c r="G26" s="6"/>
      <c r="H26" s="6"/>
    </row>
    <row r="27" spans="1:8" x14ac:dyDescent="0.4">
      <c r="A27" s="5"/>
      <c r="B27" s="6"/>
      <c r="C27" s="6"/>
      <c r="D27" s="6"/>
      <c r="E27" s="6"/>
      <c r="F27" s="6"/>
      <c r="G27" s="6"/>
      <c r="H27" s="6"/>
    </row>
    <row r="28" spans="1:8" x14ac:dyDescent="0.4">
      <c r="A28" s="5"/>
      <c r="B28" s="6"/>
      <c r="C28" s="6"/>
      <c r="D28" s="6"/>
      <c r="E28" s="6"/>
      <c r="F28" s="6"/>
      <c r="G28" s="6"/>
      <c r="H28" s="6"/>
    </row>
    <row r="29" spans="1:8" x14ac:dyDescent="0.4">
      <c r="A29" s="5"/>
      <c r="B29" s="6"/>
      <c r="C29" s="6"/>
      <c r="D29" s="6"/>
      <c r="E29" s="6"/>
      <c r="F29" s="6"/>
      <c r="G29" s="6"/>
      <c r="H29" s="6"/>
    </row>
    <row r="30" spans="1:8" x14ac:dyDescent="0.4">
      <c r="A30" s="5"/>
      <c r="B30" s="6"/>
      <c r="C30" s="6"/>
      <c r="D30" s="6"/>
      <c r="E30" s="6"/>
      <c r="F30" s="6"/>
      <c r="G30" s="6"/>
      <c r="H30" s="6"/>
    </row>
    <row r="31" spans="1:8" x14ac:dyDescent="0.4">
      <c r="A31" s="5"/>
      <c r="B31" s="6"/>
      <c r="C31" s="6"/>
      <c r="D31" s="6"/>
      <c r="E31" s="6"/>
      <c r="F31" s="6"/>
      <c r="G31" s="6"/>
      <c r="H31" s="6"/>
    </row>
    <row r="32" spans="1:8" x14ac:dyDescent="0.4">
      <c r="A32" s="5"/>
      <c r="B32" s="6"/>
      <c r="C32" s="6"/>
      <c r="D32" s="6"/>
      <c r="E32" s="6"/>
      <c r="F32" s="6"/>
      <c r="G32" s="6"/>
      <c r="H32" s="6"/>
    </row>
    <row r="33" spans="1:8" x14ac:dyDescent="0.4">
      <c r="A33" s="5"/>
      <c r="B33" s="6"/>
      <c r="C33" s="6"/>
      <c r="D33" s="6"/>
      <c r="E33" s="6"/>
      <c r="F33" s="6"/>
      <c r="G33" s="6"/>
      <c r="H33" s="6"/>
    </row>
    <row r="34" spans="1:8" x14ac:dyDescent="0.4">
      <c r="A34" s="5"/>
      <c r="B34" s="6"/>
      <c r="C34" s="6"/>
      <c r="D34" s="6"/>
      <c r="E34" s="6"/>
      <c r="F34" s="6"/>
      <c r="G34" s="6"/>
      <c r="H34" s="6"/>
    </row>
    <row r="35" spans="1:8" x14ac:dyDescent="0.4">
      <c r="A35" s="5"/>
      <c r="B35" s="6"/>
      <c r="C35" s="6"/>
      <c r="D35" s="6"/>
      <c r="E35" s="6"/>
      <c r="F35" s="6"/>
      <c r="G35" s="6"/>
      <c r="H35" s="6"/>
    </row>
    <row r="36" spans="1:8" x14ac:dyDescent="0.4">
      <c r="A36" s="5"/>
      <c r="B36" s="6"/>
      <c r="C36" s="6"/>
      <c r="D36" s="6"/>
      <c r="E36" s="6"/>
      <c r="F36" s="6"/>
      <c r="G36" s="6"/>
      <c r="H36" s="6"/>
    </row>
    <row r="37" spans="1:8" x14ac:dyDescent="0.4">
      <c r="A37" s="5"/>
      <c r="B37" s="6"/>
      <c r="C37" s="6"/>
      <c r="D37" s="6"/>
      <c r="E37" s="6"/>
      <c r="F37" s="6"/>
      <c r="G37" s="6"/>
      <c r="H37" s="6"/>
    </row>
    <row r="38" spans="1:8" x14ac:dyDescent="0.4">
      <c r="A38" s="5"/>
      <c r="B38" s="6"/>
      <c r="C38" s="6"/>
      <c r="D38" s="6"/>
      <c r="E38" s="6"/>
      <c r="F38" s="6"/>
      <c r="G38" s="6"/>
      <c r="H38" s="6"/>
    </row>
    <row r="39" spans="1:8" x14ac:dyDescent="0.4">
      <c r="A39" s="5"/>
      <c r="B39" s="6"/>
      <c r="C39" s="6"/>
      <c r="D39" s="6"/>
      <c r="E39" s="6"/>
      <c r="F39" s="6"/>
      <c r="G39" s="6"/>
      <c r="H39" s="6"/>
    </row>
    <row r="40" spans="1:8" x14ac:dyDescent="0.4">
      <c r="A40" s="5"/>
      <c r="B40" s="6"/>
      <c r="C40" s="6"/>
      <c r="D40" s="6"/>
      <c r="E40" s="6"/>
      <c r="F40" s="6"/>
      <c r="G40" s="6"/>
      <c r="H40" s="6"/>
    </row>
    <row r="41" spans="1:8" x14ac:dyDescent="0.4">
      <c r="A41" s="5"/>
      <c r="B41" s="6"/>
      <c r="C41" s="6"/>
      <c r="D41" s="6"/>
      <c r="E41" s="6"/>
      <c r="F41" s="6"/>
      <c r="G41" s="6"/>
      <c r="H41" s="6"/>
    </row>
    <row r="42" spans="1:8" x14ac:dyDescent="0.4">
      <c r="A42" s="5"/>
      <c r="B42" s="6"/>
      <c r="C42" s="6"/>
      <c r="D42" s="6"/>
      <c r="E42" s="6"/>
      <c r="F42" s="6"/>
      <c r="G42" s="6"/>
      <c r="H42" s="6"/>
    </row>
    <row r="43" spans="1:8" x14ac:dyDescent="0.4">
      <c r="A43" s="5"/>
      <c r="B43" s="6"/>
      <c r="C43" s="6"/>
      <c r="D43" s="6"/>
      <c r="E43" s="6"/>
      <c r="F43" s="6"/>
      <c r="G43" s="6"/>
      <c r="H43" s="6"/>
    </row>
    <row r="44" spans="1:8" x14ac:dyDescent="0.4">
      <c r="A44" s="5"/>
      <c r="B44" s="6"/>
      <c r="C44" s="6"/>
      <c r="D44" s="6"/>
      <c r="E44" s="6"/>
      <c r="F44" s="6"/>
      <c r="G44" s="6"/>
      <c r="H44" s="6"/>
    </row>
    <row r="45" spans="1:8" x14ac:dyDescent="0.4">
      <c r="A45" s="5"/>
      <c r="B45" s="6"/>
      <c r="C45" s="6"/>
      <c r="D45" s="6"/>
      <c r="E45" s="6"/>
      <c r="F45" s="6"/>
      <c r="G45" s="6"/>
      <c r="H45" s="6"/>
    </row>
    <row r="46" spans="1:8" x14ac:dyDescent="0.4">
      <c r="A46" s="5"/>
      <c r="B46" s="6"/>
      <c r="C46" s="6"/>
      <c r="D46" s="6"/>
      <c r="E46" s="6"/>
      <c r="F46" s="6"/>
      <c r="G46" s="6"/>
      <c r="H46" s="6"/>
    </row>
    <row r="47" spans="1:8" x14ac:dyDescent="0.4">
      <c r="A47" s="5"/>
      <c r="B47" s="6"/>
      <c r="C47" s="6"/>
      <c r="D47" s="6"/>
      <c r="E47" s="6"/>
      <c r="F47" s="6"/>
      <c r="G47" s="6"/>
      <c r="H47" s="6"/>
    </row>
    <row r="48" spans="1:8" x14ac:dyDescent="0.4">
      <c r="A48" s="5"/>
      <c r="B48" s="6"/>
      <c r="C48" s="6"/>
      <c r="D48" s="6"/>
      <c r="E48" s="6"/>
      <c r="F48" s="6"/>
      <c r="G48" s="6"/>
      <c r="H48" s="6"/>
    </row>
    <row r="49" spans="1:8" x14ac:dyDescent="0.4">
      <c r="A49" s="5"/>
      <c r="B49" s="6"/>
      <c r="C49" s="6"/>
      <c r="D49" s="6"/>
      <c r="E49" s="6"/>
      <c r="F49" s="6"/>
      <c r="G49" s="6"/>
      <c r="H49" s="6"/>
    </row>
    <row r="50" spans="1:8" x14ac:dyDescent="0.4">
      <c r="A50" s="5"/>
      <c r="B50" s="6"/>
      <c r="C50" s="6"/>
      <c r="D50" s="6"/>
      <c r="E50" s="6"/>
      <c r="F50" s="6"/>
      <c r="G50" s="6"/>
      <c r="H50" s="6"/>
    </row>
    <row r="51" spans="1:8" x14ac:dyDescent="0.4">
      <c r="A51" s="5"/>
      <c r="B51" s="6"/>
      <c r="C51" s="6"/>
      <c r="D51" s="6"/>
      <c r="E51" s="6"/>
      <c r="F51" s="6"/>
      <c r="G51" s="6"/>
      <c r="H51" s="6"/>
    </row>
    <row r="52" spans="1:8" x14ac:dyDescent="0.4">
      <c r="A52" s="5"/>
      <c r="B52" s="6"/>
      <c r="C52" s="6"/>
      <c r="D52" s="6"/>
      <c r="E52" s="6"/>
      <c r="F52" s="6"/>
      <c r="G52" s="6"/>
      <c r="H52" s="6"/>
    </row>
    <row r="53" spans="1:8" x14ac:dyDescent="0.4">
      <c r="A53" s="5"/>
      <c r="B53" s="6"/>
      <c r="C53" s="6"/>
      <c r="D53" s="6"/>
      <c r="E53" s="6"/>
      <c r="F53" s="6"/>
      <c r="G53" s="6"/>
      <c r="H53" s="6"/>
    </row>
    <row r="54" spans="1:8" x14ac:dyDescent="0.4">
      <c r="A54" s="5"/>
      <c r="B54" s="6"/>
      <c r="C54" s="6"/>
      <c r="D54" s="6"/>
      <c r="E54" s="6"/>
      <c r="F54" s="6"/>
      <c r="G54" s="6"/>
      <c r="H54" s="6"/>
    </row>
    <row r="55" spans="1:8" x14ac:dyDescent="0.4">
      <c r="A55" s="5"/>
      <c r="B55" s="6"/>
      <c r="C55" s="6"/>
      <c r="D55" s="6"/>
      <c r="E55" s="6"/>
      <c r="F55" s="6"/>
      <c r="G55" s="6"/>
      <c r="H55" s="6"/>
    </row>
    <row r="56" spans="1:8" x14ac:dyDescent="0.4">
      <c r="A56" s="5"/>
      <c r="B56" s="6"/>
      <c r="C56" s="6"/>
      <c r="D56" s="6"/>
      <c r="E56" s="6"/>
      <c r="F56" s="6"/>
      <c r="G56" s="6"/>
      <c r="H56" s="6"/>
    </row>
    <row r="57" spans="1:8" x14ac:dyDescent="0.4">
      <c r="A57" s="5"/>
      <c r="B57" s="6"/>
      <c r="C57" s="6"/>
      <c r="D57" s="6"/>
      <c r="E57" s="6"/>
      <c r="F57" s="6"/>
      <c r="G57" s="6"/>
      <c r="H57" s="6"/>
    </row>
    <row r="58" spans="1:8" x14ac:dyDescent="0.4">
      <c r="A58" s="5"/>
      <c r="B58" s="6"/>
      <c r="C58" s="6"/>
      <c r="D58" s="6"/>
      <c r="E58" s="6"/>
      <c r="F58" s="6"/>
      <c r="G58" s="6"/>
      <c r="H58" s="6"/>
    </row>
    <row r="59" spans="1:8" x14ac:dyDescent="0.4">
      <c r="A59" s="5"/>
      <c r="B59" s="6"/>
      <c r="C59" s="6"/>
      <c r="D59" s="6"/>
      <c r="E59" s="6"/>
      <c r="F59" s="6"/>
      <c r="G59" s="6"/>
      <c r="H59" s="6"/>
    </row>
    <row r="60" spans="1:8" x14ac:dyDescent="0.4">
      <c r="A60" s="5"/>
      <c r="B60" s="6"/>
      <c r="C60" s="6"/>
      <c r="D60" s="6"/>
      <c r="E60" s="6"/>
      <c r="F60" s="6"/>
      <c r="G60" s="6"/>
      <c r="H60" s="6"/>
    </row>
    <row r="61" spans="1:8" x14ac:dyDescent="0.4">
      <c r="A61" s="5"/>
      <c r="B61" s="6"/>
      <c r="C61" s="6"/>
      <c r="D61" s="6"/>
      <c r="E61" s="6"/>
      <c r="F61" s="6"/>
      <c r="G61" s="6"/>
      <c r="H61" s="6"/>
    </row>
    <row r="62" spans="1:8" x14ac:dyDescent="0.4">
      <c r="A62" s="5"/>
      <c r="B62" s="6"/>
      <c r="C62" s="6"/>
      <c r="D62" s="6"/>
      <c r="E62" s="6"/>
      <c r="F62" s="6"/>
      <c r="G62" s="6"/>
      <c r="H62" s="6"/>
    </row>
    <row r="63" spans="1:8" x14ac:dyDescent="0.4">
      <c r="A63" s="5"/>
      <c r="B63" s="6"/>
      <c r="C63" s="6"/>
      <c r="D63" s="6"/>
      <c r="E63" s="6"/>
      <c r="F63" s="6"/>
      <c r="G63" s="6"/>
      <c r="H63" s="6"/>
    </row>
    <row r="64" spans="1:8" x14ac:dyDescent="0.4">
      <c r="A64" s="5"/>
      <c r="B64" s="6"/>
      <c r="C64" s="6"/>
      <c r="D64" s="6"/>
      <c r="E64" s="6"/>
      <c r="F64" s="6"/>
      <c r="G64" s="6"/>
      <c r="H64" s="6"/>
    </row>
    <row r="65" spans="1:8" x14ac:dyDescent="0.4">
      <c r="A65" s="5"/>
      <c r="B65" s="6"/>
      <c r="C65" s="6"/>
      <c r="D65" s="6"/>
      <c r="E65" s="6"/>
      <c r="F65" s="6"/>
      <c r="G65" s="6"/>
      <c r="H65" s="6"/>
    </row>
    <row r="66" spans="1:8" x14ac:dyDescent="0.4">
      <c r="A66" s="5"/>
      <c r="B66" s="6"/>
      <c r="C66" s="6"/>
      <c r="D66" s="6"/>
      <c r="E66" s="6"/>
      <c r="F66" s="6"/>
      <c r="G66" s="6"/>
      <c r="H66" s="6"/>
    </row>
    <row r="67" spans="1:8" x14ac:dyDescent="0.4">
      <c r="A67" s="5"/>
      <c r="B67" s="6"/>
      <c r="C67" s="6"/>
      <c r="D67" s="6"/>
      <c r="E67" s="6"/>
      <c r="F67" s="6"/>
      <c r="G67" s="6"/>
      <c r="H67" s="6"/>
    </row>
    <row r="68" spans="1:8" x14ac:dyDescent="0.4">
      <c r="A68" s="5"/>
      <c r="B68" s="6"/>
      <c r="C68" s="6"/>
      <c r="D68" s="6"/>
      <c r="E68" s="6"/>
      <c r="F68" s="6"/>
      <c r="G68" s="6"/>
      <c r="H68" s="6"/>
    </row>
    <row r="69" spans="1:8" x14ac:dyDescent="0.4">
      <c r="A69" s="5"/>
      <c r="B69" s="6"/>
      <c r="C69" s="6"/>
      <c r="D69" s="6"/>
      <c r="E69" s="6"/>
      <c r="F69" s="6"/>
      <c r="G69" s="6"/>
      <c r="H69" s="6"/>
    </row>
    <row r="70" spans="1:8" x14ac:dyDescent="0.4">
      <c r="A70" s="5"/>
      <c r="B70" s="6"/>
      <c r="C70" s="6"/>
      <c r="D70" s="6"/>
      <c r="E70" s="6"/>
      <c r="F70" s="6"/>
      <c r="G70" s="6"/>
      <c r="H70" s="6"/>
    </row>
    <row r="71" spans="1:8" x14ac:dyDescent="0.4">
      <c r="A71" s="5"/>
      <c r="B71" s="6"/>
      <c r="C71" s="6"/>
      <c r="D71" s="6"/>
      <c r="E71" s="6"/>
      <c r="F71" s="6"/>
      <c r="G71" s="6"/>
      <c r="H71" s="6"/>
    </row>
    <row r="72" spans="1:8" x14ac:dyDescent="0.4">
      <c r="A72" s="5"/>
      <c r="B72" s="6"/>
      <c r="C72" s="6"/>
      <c r="D72" s="6"/>
      <c r="E72" s="6"/>
      <c r="F72" s="6"/>
      <c r="G72" s="6"/>
      <c r="H72" s="6"/>
    </row>
    <row r="73" spans="1:8" x14ac:dyDescent="0.4">
      <c r="A73" s="5"/>
      <c r="B73" s="6"/>
      <c r="C73" s="6"/>
      <c r="D73" s="6"/>
      <c r="E73" s="6"/>
      <c r="F73" s="6"/>
      <c r="G73" s="6"/>
      <c r="H73" s="6"/>
    </row>
    <row r="74" spans="1:8" x14ac:dyDescent="0.4">
      <c r="A74" s="5"/>
      <c r="B74" s="6"/>
      <c r="C74" s="6"/>
      <c r="D74" s="6"/>
      <c r="E74" s="6"/>
      <c r="F74" s="6"/>
      <c r="G74" s="6"/>
      <c r="H74" s="6"/>
    </row>
    <row r="75" spans="1:8" x14ac:dyDescent="0.4">
      <c r="A75" s="5"/>
      <c r="B75" s="6"/>
      <c r="C75" s="6"/>
      <c r="D75" s="6"/>
      <c r="E75" s="6"/>
      <c r="F75" s="6"/>
      <c r="G75" s="6"/>
      <c r="H75" s="6"/>
    </row>
    <row r="76" spans="1:8" x14ac:dyDescent="0.4">
      <c r="A76" s="5"/>
      <c r="B76" s="6"/>
      <c r="C76" s="6"/>
      <c r="D76" s="6"/>
      <c r="E76" s="6"/>
      <c r="F76" s="6"/>
      <c r="G76" s="6"/>
      <c r="H76" s="6"/>
    </row>
  </sheetData>
  <protectedRanges>
    <protectedRange sqref="A4:H76" name="编辑区"/>
  </protectedRanges>
  <mergeCells count="2">
    <mergeCell ref="A1:B2"/>
    <mergeCell ref="C1:H2"/>
  </mergeCells>
  <phoneticPr fontId="1" type="noConversion"/>
  <dataValidations count="3">
    <dataValidation type="list" allowBlank="1" showInputMessage="1" showErrorMessage="1" sqref="D1:D76" xr:uid="{0883CA94-AB3C-4EA0-B355-C9578600CA6D}">
      <formula1>"饮食,学习,生活,外务,增值,特别立项"</formula1>
    </dataValidation>
    <dataValidation type="list" allowBlank="1" showInputMessage="1" showErrorMessage="1" sqref="C1:C76" xr:uid="{F9A1A05D-39AB-4583-8C36-F511A9F36A3B}">
      <formula1>"收,支"</formula1>
    </dataValidation>
    <dataValidation type="list" allowBlank="1" showInputMessage="1" showErrorMessage="1" sqref="B4" xr:uid="{78FAB18A-D0B3-4258-9E08-804F82E98049}">
      <formula1>"MO,TU,WE,TH,FR,SA,SU"</formula1>
    </dataValidation>
  </dataValidations>
  <hyperlinks>
    <hyperlink ref="A1:B2" location="主页!A1" display="返回主页" xr:uid="{979284B7-DEC1-45A3-8921-BF581B5127C3}"/>
    <hyperlink ref="C1:H2" location="Sheet48最后数!A1" display="2024年一月综合财报" xr:uid="{10174EBC-66E0-4B22-9BB7-68C0D9E0CA4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FDC7-3DB0-4AF2-9071-85C482B34E6D}">
  <sheetPr codeName="Sheet13"/>
  <dimension ref="A1:H76"/>
  <sheetViews>
    <sheetView workbookViewId="0">
      <selection sqref="A1:B2"/>
    </sheetView>
  </sheetViews>
  <sheetFormatPr defaultRowHeight="13.9" x14ac:dyDescent="0.4"/>
  <sheetData>
    <row r="1" spans="1:8" x14ac:dyDescent="0.4">
      <c r="A1" s="78" t="s">
        <v>1</v>
      </c>
      <c r="B1" s="78"/>
      <c r="C1" s="79" t="s">
        <v>2</v>
      </c>
      <c r="D1" s="78"/>
      <c r="E1" s="78"/>
      <c r="F1" s="78"/>
      <c r="G1" s="78"/>
      <c r="H1" s="78"/>
    </row>
    <row r="2" spans="1:8" x14ac:dyDescent="0.4">
      <c r="A2" s="78"/>
      <c r="B2" s="78"/>
      <c r="C2" s="78"/>
      <c r="D2" s="78"/>
      <c r="E2" s="78"/>
      <c r="F2" s="78"/>
      <c r="G2" s="78"/>
      <c r="H2" s="78"/>
    </row>
    <row r="3" spans="1:8" x14ac:dyDescent="0.4">
      <c r="A3" s="5" t="s">
        <v>0</v>
      </c>
      <c r="B3" s="6" t="s">
        <v>3</v>
      </c>
      <c r="C3" s="6" t="s">
        <v>5</v>
      </c>
      <c r="D3" s="6" t="s">
        <v>4</v>
      </c>
      <c r="E3" s="6" t="s">
        <v>6</v>
      </c>
      <c r="F3" s="6" t="s">
        <v>7</v>
      </c>
      <c r="G3" s="6" t="s">
        <v>8</v>
      </c>
      <c r="H3" s="6" t="s">
        <v>9</v>
      </c>
    </row>
    <row r="4" spans="1:8" x14ac:dyDescent="0.4">
      <c r="A4" s="5"/>
      <c r="B4" s="6"/>
      <c r="C4" s="6"/>
      <c r="D4" s="6"/>
      <c r="E4" s="6"/>
      <c r="F4" s="6"/>
      <c r="G4" s="6"/>
      <c r="H4" s="6"/>
    </row>
    <row r="5" spans="1:8" x14ac:dyDescent="0.4">
      <c r="A5" s="5"/>
      <c r="B5" s="6"/>
      <c r="C5" s="6"/>
      <c r="D5" s="6"/>
      <c r="E5" s="6"/>
      <c r="F5" s="6"/>
      <c r="G5" s="6"/>
      <c r="H5" s="6"/>
    </row>
    <row r="6" spans="1:8" x14ac:dyDescent="0.4">
      <c r="A6" s="5"/>
      <c r="B6" s="6"/>
      <c r="C6" s="6"/>
      <c r="D6" s="6"/>
      <c r="E6" s="6"/>
      <c r="F6" s="6"/>
      <c r="G6" s="6"/>
      <c r="H6" s="6"/>
    </row>
    <row r="7" spans="1:8" x14ac:dyDescent="0.4">
      <c r="A7" s="5"/>
      <c r="B7" s="6"/>
      <c r="C7" s="6"/>
      <c r="D7" s="6"/>
      <c r="E7" s="6"/>
      <c r="F7" s="6"/>
      <c r="G7" s="6"/>
      <c r="H7" s="6"/>
    </row>
    <row r="8" spans="1:8" x14ac:dyDescent="0.4">
      <c r="A8" s="5"/>
      <c r="B8" s="6"/>
      <c r="C8" s="6"/>
      <c r="D8" s="6"/>
      <c r="E8" s="6"/>
      <c r="F8" s="6"/>
      <c r="G8" s="6"/>
      <c r="H8" s="6"/>
    </row>
    <row r="9" spans="1:8" x14ac:dyDescent="0.4">
      <c r="A9" s="5"/>
      <c r="B9" s="6"/>
      <c r="C9" s="6"/>
      <c r="D9" s="6"/>
      <c r="E9" s="6"/>
      <c r="F9" s="6"/>
      <c r="G9" s="6"/>
      <c r="H9" s="6"/>
    </row>
    <row r="10" spans="1:8" x14ac:dyDescent="0.4">
      <c r="A10" s="5"/>
      <c r="B10" s="6"/>
      <c r="C10" s="6"/>
      <c r="D10" s="6"/>
      <c r="E10" s="6"/>
      <c r="F10" s="6"/>
      <c r="G10" s="6"/>
      <c r="H10" s="6"/>
    </row>
    <row r="11" spans="1:8" x14ac:dyDescent="0.4">
      <c r="A11" s="5"/>
      <c r="B11" s="6"/>
      <c r="C11" s="6"/>
      <c r="D11" s="6"/>
      <c r="E11" s="6"/>
      <c r="F11" s="6"/>
      <c r="G11" s="6"/>
      <c r="H11" s="6"/>
    </row>
    <row r="12" spans="1:8" x14ac:dyDescent="0.4">
      <c r="A12" s="5"/>
      <c r="B12" s="6"/>
      <c r="C12" s="6"/>
      <c r="D12" s="6"/>
      <c r="E12" s="6"/>
      <c r="F12" s="6"/>
      <c r="G12" s="6"/>
      <c r="H12" s="6"/>
    </row>
    <row r="13" spans="1:8" x14ac:dyDescent="0.4">
      <c r="A13" s="5"/>
      <c r="B13" s="6"/>
      <c r="C13" s="6"/>
      <c r="D13" s="6"/>
      <c r="E13" s="6"/>
      <c r="F13" s="6"/>
      <c r="G13" s="6"/>
      <c r="H13" s="6"/>
    </row>
    <row r="14" spans="1:8" x14ac:dyDescent="0.4">
      <c r="A14" s="5"/>
      <c r="B14" s="6"/>
      <c r="C14" s="6"/>
      <c r="D14" s="6"/>
      <c r="E14" s="6"/>
      <c r="F14" s="6"/>
      <c r="G14" s="6"/>
      <c r="H14" s="6"/>
    </row>
    <row r="15" spans="1:8" x14ac:dyDescent="0.4">
      <c r="A15" s="5"/>
      <c r="B15" s="6"/>
      <c r="C15" s="6"/>
      <c r="D15" s="6"/>
      <c r="E15" s="6"/>
      <c r="F15" s="6"/>
      <c r="G15" s="6"/>
      <c r="H15" s="6"/>
    </row>
    <row r="16" spans="1:8" x14ac:dyDescent="0.4">
      <c r="A16" s="5"/>
      <c r="B16" s="6"/>
      <c r="C16" s="6"/>
      <c r="D16" s="6"/>
      <c r="E16" s="6"/>
      <c r="F16" s="6"/>
      <c r="G16" s="6"/>
      <c r="H16" s="6"/>
    </row>
    <row r="17" spans="1:8" x14ac:dyDescent="0.4">
      <c r="A17" s="5"/>
      <c r="B17" s="6"/>
      <c r="C17" s="6"/>
      <c r="D17" s="6"/>
      <c r="E17" s="6"/>
      <c r="F17" s="6"/>
      <c r="G17" s="6"/>
      <c r="H17" s="6"/>
    </row>
    <row r="18" spans="1:8" x14ac:dyDescent="0.4">
      <c r="A18" s="5"/>
      <c r="B18" s="6"/>
      <c r="C18" s="6"/>
      <c r="D18" s="6"/>
      <c r="E18" s="6"/>
      <c r="F18" s="6"/>
      <c r="G18" s="6"/>
      <c r="H18" s="6"/>
    </row>
    <row r="19" spans="1:8" x14ac:dyDescent="0.4">
      <c r="A19" s="5"/>
      <c r="B19" s="6"/>
      <c r="C19" s="6"/>
      <c r="D19" s="6"/>
      <c r="E19" s="6"/>
      <c r="F19" s="6"/>
      <c r="G19" s="6"/>
      <c r="H19" s="6"/>
    </row>
    <row r="20" spans="1:8" x14ac:dyDescent="0.4">
      <c r="A20" s="5"/>
      <c r="B20" s="6"/>
      <c r="C20" s="6"/>
      <c r="D20" s="6"/>
      <c r="E20" s="6"/>
      <c r="F20" s="6"/>
      <c r="G20" s="6"/>
      <c r="H20" s="6"/>
    </row>
    <row r="21" spans="1:8" x14ac:dyDescent="0.4">
      <c r="A21" s="5"/>
      <c r="B21" s="6"/>
      <c r="C21" s="6"/>
      <c r="D21" s="6"/>
      <c r="E21" s="6"/>
      <c r="F21" s="6"/>
      <c r="G21" s="6"/>
      <c r="H21" s="6"/>
    </row>
    <row r="22" spans="1:8" x14ac:dyDescent="0.4">
      <c r="A22" s="5"/>
      <c r="B22" s="6"/>
      <c r="C22" s="6"/>
      <c r="D22" s="6"/>
      <c r="E22" s="6"/>
      <c r="F22" s="6"/>
      <c r="G22" s="6"/>
      <c r="H22" s="6"/>
    </row>
    <row r="23" spans="1:8" x14ac:dyDescent="0.4">
      <c r="A23" s="5"/>
      <c r="B23" s="6"/>
      <c r="C23" s="6"/>
      <c r="D23" s="6"/>
      <c r="E23" s="6"/>
      <c r="F23" s="6"/>
      <c r="G23" s="6"/>
      <c r="H23" s="6"/>
    </row>
    <row r="24" spans="1:8" x14ac:dyDescent="0.4">
      <c r="A24" s="5"/>
      <c r="B24" s="6"/>
      <c r="C24" s="6"/>
      <c r="D24" s="6"/>
      <c r="E24" s="6"/>
      <c r="F24" s="6"/>
      <c r="G24" s="6"/>
      <c r="H24" s="6"/>
    </row>
    <row r="25" spans="1:8" x14ac:dyDescent="0.4">
      <c r="A25" s="5"/>
      <c r="B25" s="6"/>
      <c r="C25" s="6"/>
      <c r="D25" s="6"/>
      <c r="E25" s="6"/>
      <c r="F25" s="6"/>
      <c r="G25" s="6"/>
      <c r="H25" s="6"/>
    </row>
    <row r="26" spans="1:8" x14ac:dyDescent="0.4">
      <c r="A26" s="5"/>
      <c r="B26" s="6"/>
      <c r="C26" s="6"/>
      <c r="D26" s="6"/>
      <c r="E26" s="6"/>
      <c r="F26" s="6"/>
      <c r="G26" s="6"/>
      <c r="H26" s="6"/>
    </row>
    <row r="27" spans="1:8" x14ac:dyDescent="0.4">
      <c r="A27" s="5"/>
      <c r="B27" s="6"/>
      <c r="C27" s="6"/>
      <c r="D27" s="6"/>
      <c r="E27" s="6"/>
      <c r="F27" s="6"/>
      <c r="G27" s="6"/>
      <c r="H27" s="6"/>
    </row>
    <row r="28" spans="1:8" x14ac:dyDescent="0.4">
      <c r="A28" s="5"/>
      <c r="B28" s="6"/>
      <c r="C28" s="6"/>
      <c r="D28" s="6"/>
      <c r="E28" s="6"/>
      <c r="F28" s="6"/>
      <c r="G28" s="6"/>
      <c r="H28" s="6"/>
    </row>
    <row r="29" spans="1:8" x14ac:dyDescent="0.4">
      <c r="A29" s="5"/>
      <c r="B29" s="6"/>
      <c r="C29" s="6"/>
      <c r="D29" s="6"/>
      <c r="E29" s="6"/>
      <c r="F29" s="6"/>
      <c r="G29" s="6"/>
      <c r="H29" s="6"/>
    </row>
    <row r="30" spans="1:8" x14ac:dyDescent="0.4">
      <c r="A30" s="5"/>
      <c r="B30" s="6"/>
      <c r="C30" s="6"/>
      <c r="D30" s="6"/>
      <c r="E30" s="6"/>
      <c r="F30" s="6"/>
      <c r="G30" s="6"/>
      <c r="H30" s="6"/>
    </row>
    <row r="31" spans="1:8" x14ac:dyDescent="0.4">
      <c r="A31" s="5"/>
      <c r="B31" s="6"/>
      <c r="C31" s="6"/>
      <c r="D31" s="6"/>
      <c r="E31" s="6"/>
      <c r="F31" s="6"/>
      <c r="G31" s="6"/>
      <c r="H31" s="6"/>
    </row>
    <row r="32" spans="1:8" x14ac:dyDescent="0.4">
      <c r="A32" s="5"/>
      <c r="B32" s="6"/>
      <c r="C32" s="6"/>
      <c r="D32" s="6"/>
      <c r="E32" s="6"/>
      <c r="F32" s="6"/>
      <c r="G32" s="6"/>
      <c r="H32" s="6"/>
    </row>
    <row r="33" spans="1:8" x14ac:dyDescent="0.4">
      <c r="A33" s="5"/>
      <c r="B33" s="6"/>
      <c r="C33" s="6"/>
      <c r="D33" s="6"/>
      <c r="E33" s="6"/>
      <c r="F33" s="6"/>
      <c r="G33" s="6"/>
      <c r="H33" s="6"/>
    </row>
    <row r="34" spans="1:8" x14ac:dyDescent="0.4">
      <c r="A34" s="5"/>
      <c r="B34" s="6"/>
      <c r="C34" s="6"/>
      <c r="D34" s="6"/>
      <c r="E34" s="6"/>
      <c r="F34" s="6"/>
      <c r="G34" s="6"/>
      <c r="H34" s="6"/>
    </row>
    <row r="35" spans="1:8" x14ac:dyDescent="0.4">
      <c r="A35" s="5"/>
      <c r="B35" s="6"/>
      <c r="C35" s="6"/>
      <c r="D35" s="6"/>
      <c r="E35" s="6"/>
      <c r="F35" s="6"/>
      <c r="G35" s="6"/>
      <c r="H35" s="6"/>
    </row>
    <row r="36" spans="1:8" x14ac:dyDescent="0.4">
      <c r="A36" s="5"/>
      <c r="B36" s="6"/>
      <c r="C36" s="6"/>
      <c r="D36" s="6"/>
      <c r="E36" s="6"/>
      <c r="F36" s="6"/>
      <c r="G36" s="6"/>
      <c r="H36" s="6"/>
    </row>
    <row r="37" spans="1:8" x14ac:dyDescent="0.4">
      <c r="A37" s="5"/>
      <c r="B37" s="6"/>
      <c r="C37" s="6"/>
      <c r="D37" s="6"/>
      <c r="E37" s="6"/>
      <c r="F37" s="6"/>
      <c r="G37" s="6"/>
      <c r="H37" s="6"/>
    </row>
    <row r="38" spans="1:8" x14ac:dyDescent="0.4">
      <c r="A38" s="5"/>
      <c r="B38" s="6"/>
      <c r="C38" s="6"/>
      <c r="D38" s="6"/>
      <c r="E38" s="6"/>
      <c r="F38" s="6"/>
      <c r="G38" s="6"/>
      <c r="H38" s="6"/>
    </row>
    <row r="39" spans="1:8" x14ac:dyDescent="0.4">
      <c r="A39" s="5"/>
      <c r="B39" s="6"/>
      <c r="C39" s="6"/>
      <c r="D39" s="6"/>
      <c r="E39" s="6"/>
      <c r="F39" s="6"/>
      <c r="G39" s="6"/>
      <c r="H39" s="6"/>
    </row>
    <row r="40" spans="1:8" x14ac:dyDescent="0.4">
      <c r="A40" s="5"/>
      <c r="B40" s="6"/>
      <c r="C40" s="6"/>
      <c r="D40" s="6"/>
      <c r="E40" s="6"/>
      <c r="F40" s="6"/>
      <c r="G40" s="6"/>
      <c r="H40" s="6"/>
    </row>
    <row r="41" spans="1:8" x14ac:dyDescent="0.4">
      <c r="A41" s="5"/>
      <c r="B41" s="6"/>
      <c r="C41" s="6"/>
      <c r="D41" s="6"/>
      <c r="E41" s="6"/>
      <c r="F41" s="6"/>
      <c r="G41" s="6"/>
      <c r="H41" s="6"/>
    </row>
    <row r="42" spans="1:8" x14ac:dyDescent="0.4">
      <c r="A42" s="5"/>
      <c r="B42" s="6"/>
      <c r="C42" s="6"/>
      <c r="D42" s="6"/>
      <c r="E42" s="6"/>
      <c r="F42" s="6"/>
      <c r="G42" s="6"/>
      <c r="H42" s="6"/>
    </row>
    <row r="43" spans="1:8" x14ac:dyDescent="0.4">
      <c r="A43" s="5"/>
      <c r="B43" s="6"/>
      <c r="C43" s="6"/>
      <c r="D43" s="6"/>
      <c r="E43" s="6"/>
      <c r="F43" s="6"/>
      <c r="G43" s="6"/>
      <c r="H43" s="6"/>
    </row>
    <row r="44" spans="1:8" x14ac:dyDescent="0.4">
      <c r="A44" s="5"/>
      <c r="B44" s="6"/>
      <c r="C44" s="6"/>
      <c r="D44" s="6"/>
      <c r="E44" s="6"/>
      <c r="F44" s="6"/>
      <c r="G44" s="6"/>
      <c r="H44" s="6"/>
    </row>
    <row r="45" spans="1:8" x14ac:dyDescent="0.4">
      <c r="A45" s="5"/>
      <c r="B45" s="6"/>
      <c r="C45" s="6"/>
      <c r="D45" s="6"/>
      <c r="E45" s="6"/>
      <c r="F45" s="6"/>
      <c r="G45" s="6"/>
      <c r="H45" s="6"/>
    </row>
    <row r="46" spans="1:8" x14ac:dyDescent="0.4">
      <c r="A46" s="5"/>
      <c r="B46" s="6"/>
      <c r="C46" s="6"/>
      <c r="D46" s="6"/>
      <c r="E46" s="6"/>
      <c r="F46" s="6"/>
      <c r="G46" s="6"/>
      <c r="H46" s="6"/>
    </row>
    <row r="47" spans="1:8" x14ac:dyDescent="0.4">
      <c r="A47" s="5"/>
      <c r="B47" s="6"/>
      <c r="C47" s="6"/>
      <c r="D47" s="6"/>
      <c r="E47" s="6"/>
      <c r="F47" s="6"/>
      <c r="G47" s="6"/>
      <c r="H47" s="6"/>
    </row>
    <row r="48" spans="1:8" x14ac:dyDescent="0.4">
      <c r="A48" s="5"/>
      <c r="B48" s="6"/>
      <c r="C48" s="6"/>
      <c r="D48" s="6"/>
      <c r="E48" s="6"/>
      <c r="F48" s="6"/>
      <c r="G48" s="6"/>
      <c r="H48" s="6"/>
    </row>
    <row r="49" spans="1:8" x14ac:dyDescent="0.4">
      <c r="A49" s="5"/>
      <c r="B49" s="6"/>
      <c r="C49" s="6"/>
      <c r="D49" s="6"/>
      <c r="E49" s="6"/>
      <c r="F49" s="6"/>
      <c r="G49" s="6"/>
      <c r="H49" s="6"/>
    </row>
    <row r="50" spans="1:8" x14ac:dyDescent="0.4">
      <c r="A50" s="5"/>
      <c r="B50" s="6"/>
      <c r="C50" s="6"/>
      <c r="D50" s="6"/>
      <c r="E50" s="6"/>
      <c r="F50" s="6"/>
      <c r="G50" s="6"/>
      <c r="H50" s="6"/>
    </row>
    <row r="51" spans="1:8" x14ac:dyDescent="0.4">
      <c r="A51" s="5"/>
      <c r="B51" s="6"/>
      <c r="C51" s="6"/>
      <c r="D51" s="6"/>
      <c r="E51" s="6"/>
      <c r="F51" s="6"/>
      <c r="G51" s="6"/>
      <c r="H51" s="6"/>
    </row>
    <row r="52" spans="1:8" x14ac:dyDescent="0.4">
      <c r="A52" s="5"/>
      <c r="B52" s="6"/>
      <c r="C52" s="6"/>
      <c r="D52" s="6"/>
      <c r="E52" s="6"/>
      <c r="F52" s="6"/>
      <c r="G52" s="6"/>
      <c r="H52" s="6"/>
    </row>
    <row r="53" spans="1:8" x14ac:dyDescent="0.4">
      <c r="A53" s="5"/>
      <c r="B53" s="6"/>
      <c r="C53" s="6"/>
      <c r="D53" s="6"/>
      <c r="E53" s="6"/>
      <c r="F53" s="6"/>
      <c r="G53" s="6"/>
      <c r="H53" s="6"/>
    </row>
    <row r="54" spans="1:8" x14ac:dyDescent="0.4">
      <c r="A54" s="5"/>
      <c r="B54" s="6"/>
      <c r="C54" s="6"/>
      <c r="D54" s="6"/>
      <c r="E54" s="6"/>
      <c r="F54" s="6"/>
      <c r="G54" s="6"/>
      <c r="H54" s="6"/>
    </row>
    <row r="55" spans="1:8" x14ac:dyDescent="0.4">
      <c r="A55" s="5"/>
      <c r="B55" s="6"/>
      <c r="C55" s="6"/>
      <c r="D55" s="6"/>
      <c r="E55" s="6"/>
      <c r="F55" s="6"/>
      <c r="G55" s="6"/>
      <c r="H55" s="6"/>
    </row>
    <row r="56" spans="1:8" x14ac:dyDescent="0.4">
      <c r="A56" s="5"/>
      <c r="B56" s="6"/>
      <c r="C56" s="6"/>
      <c r="D56" s="6"/>
      <c r="E56" s="6"/>
      <c r="F56" s="6"/>
      <c r="G56" s="6"/>
      <c r="H56" s="6"/>
    </row>
    <row r="57" spans="1:8" x14ac:dyDescent="0.4">
      <c r="A57" s="5"/>
      <c r="B57" s="6"/>
      <c r="C57" s="6"/>
      <c r="D57" s="6"/>
      <c r="E57" s="6"/>
      <c r="F57" s="6"/>
      <c r="G57" s="6"/>
      <c r="H57" s="6"/>
    </row>
    <row r="58" spans="1:8" x14ac:dyDescent="0.4">
      <c r="A58" s="5"/>
      <c r="B58" s="6"/>
      <c r="C58" s="6"/>
      <c r="D58" s="6"/>
      <c r="E58" s="6"/>
      <c r="F58" s="6"/>
      <c r="G58" s="6"/>
      <c r="H58" s="6"/>
    </row>
    <row r="59" spans="1:8" x14ac:dyDescent="0.4">
      <c r="A59" s="5"/>
      <c r="B59" s="6"/>
      <c r="C59" s="6"/>
      <c r="D59" s="6"/>
      <c r="E59" s="6"/>
      <c r="F59" s="6"/>
      <c r="G59" s="6"/>
      <c r="H59" s="6"/>
    </row>
    <row r="60" spans="1:8" x14ac:dyDescent="0.4">
      <c r="A60" s="5"/>
      <c r="B60" s="6"/>
      <c r="C60" s="6"/>
      <c r="D60" s="6"/>
      <c r="E60" s="6"/>
      <c r="F60" s="6"/>
      <c r="G60" s="6"/>
      <c r="H60" s="6"/>
    </row>
    <row r="61" spans="1:8" x14ac:dyDescent="0.4">
      <c r="A61" s="5"/>
      <c r="B61" s="6"/>
      <c r="C61" s="6"/>
      <c r="D61" s="6"/>
      <c r="E61" s="6"/>
      <c r="F61" s="6"/>
      <c r="G61" s="6"/>
      <c r="H61" s="6"/>
    </row>
    <row r="62" spans="1:8" x14ac:dyDescent="0.4">
      <c r="A62" s="5"/>
      <c r="B62" s="6"/>
      <c r="C62" s="6"/>
      <c r="D62" s="6"/>
      <c r="E62" s="6"/>
      <c r="F62" s="6"/>
      <c r="G62" s="6"/>
      <c r="H62" s="6"/>
    </row>
    <row r="63" spans="1:8" x14ac:dyDescent="0.4">
      <c r="A63" s="5"/>
      <c r="B63" s="6"/>
      <c r="C63" s="6"/>
      <c r="D63" s="6"/>
      <c r="E63" s="6"/>
      <c r="F63" s="6"/>
      <c r="G63" s="6"/>
      <c r="H63" s="6"/>
    </row>
    <row r="64" spans="1:8" x14ac:dyDescent="0.4">
      <c r="A64" s="5"/>
      <c r="B64" s="6"/>
      <c r="C64" s="6"/>
      <c r="D64" s="6"/>
      <c r="E64" s="6"/>
      <c r="F64" s="6"/>
      <c r="G64" s="6"/>
      <c r="H64" s="6"/>
    </row>
    <row r="65" spans="1:8" x14ac:dyDescent="0.4">
      <c r="A65" s="5"/>
      <c r="B65" s="6"/>
      <c r="C65" s="6"/>
      <c r="D65" s="6"/>
      <c r="E65" s="6"/>
      <c r="F65" s="6"/>
      <c r="G65" s="6"/>
      <c r="H65" s="6"/>
    </row>
    <row r="66" spans="1:8" x14ac:dyDescent="0.4">
      <c r="A66" s="5"/>
      <c r="B66" s="6"/>
      <c r="C66" s="6"/>
      <c r="D66" s="6"/>
      <c r="E66" s="6"/>
      <c r="F66" s="6"/>
      <c r="G66" s="6"/>
      <c r="H66" s="6"/>
    </row>
    <row r="67" spans="1:8" x14ac:dyDescent="0.4">
      <c r="A67" s="5"/>
      <c r="B67" s="6"/>
      <c r="C67" s="6"/>
      <c r="D67" s="6"/>
      <c r="E67" s="6"/>
      <c r="F67" s="6"/>
      <c r="G67" s="6"/>
      <c r="H67" s="6"/>
    </row>
    <row r="68" spans="1:8" x14ac:dyDescent="0.4">
      <c r="A68" s="5"/>
      <c r="B68" s="6"/>
      <c r="C68" s="6"/>
      <c r="D68" s="6"/>
      <c r="E68" s="6"/>
      <c r="F68" s="6"/>
      <c r="G68" s="6"/>
      <c r="H68" s="6"/>
    </row>
    <row r="69" spans="1:8" x14ac:dyDescent="0.4">
      <c r="A69" s="5"/>
      <c r="B69" s="6"/>
      <c r="C69" s="6"/>
      <c r="D69" s="6"/>
      <c r="E69" s="6"/>
      <c r="F69" s="6"/>
      <c r="G69" s="6"/>
      <c r="H69" s="6"/>
    </row>
    <row r="70" spans="1:8" x14ac:dyDescent="0.4">
      <c r="A70" s="5"/>
      <c r="B70" s="6"/>
      <c r="C70" s="6"/>
      <c r="D70" s="6"/>
      <c r="E70" s="6"/>
      <c r="F70" s="6"/>
      <c r="G70" s="6"/>
      <c r="H70" s="6"/>
    </row>
    <row r="71" spans="1:8" x14ac:dyDescent="0.4">
      <c r="A71" s="5"/>
      <c r="B71" s="6"/>
      <c r="C71" s="6"/>
      <c r="D71" s="6"/>
      <c r="E71" s="6"/>
      <c r="F71" s="6"/>
      <c r="G71" s="6"/>
      <c r="H71" s="6"/>
    </row>
    <row r="72" spans="1:8" x14ac:dyDescent="0.4">
      <c r="A72" s="5"/>
      <c r="B72" s="6"/>
      <c r="C72" s="6"/>
      <c r="D72" s="6"/>
      <c r="E72" s="6"/>
      <c r="F72" s="6"/>
      <c r="G72" s="6"/>
      <c r="H72" s="6"/>
    </row>
    <row r="73" spans="1:8" x14ac:dyDescent="0.4">
      <c r="A73" s="5"/>
      <c r="B73" s="6"/>
      <c r="C73" s="6"/>
      <c r="D73" s="6"/>
      <c r="E73" s="6"/>
      <c r="F73" s="6"/>
      <c r="G73" s="6"/>
      <c r="H73" s="6"/>
    </row>
    <row r="74" spans="1:8" x14ac:dyDescent="0.4">
      <c r="A74" s="5"/>
      <c r="B74" s="6"/>
      <c r="C74" s="6"/>
      <c r="D74" s="6"/>
      <c r="E74" s="6"/>
      <c r="F74" s="6"/>
      <c r="G74" s="6"/>
      <c r="H74" s="6"/>
    </row>
    <row r="75" spans="1:8" x14ac:dyDescent="0.4">
      <c r="A75" s="5"/>
      <c r="B75" s="6"/>
      <c r="C75" s="6"/>
      <c r="D75" s="6"/>
      <c r="E75" s="6"/>
      <c r="F75" s="6"/>
      <c r="G75" s="6"/>
      <c r="H75" s="6"/>
    </row>
    <row r="76" spans="1:8" x14ac:dyDescent="0.4">
      <c r="A76" s="5"/>
      <c r="B76" s="6"/>
      <c r="C76" s="6"/>
      <c r="D76" s="6"/>
      <c r="E76" s="6"/>
      <c r="F76" s="6"/>
      <c r="G76" s="6"/>
      <c r="H76" s="6"/>
    </row>
  </sheetData>
  <protectedRanges>
    <protectedRange sqref="A4:H76" name="编辑区"/>
  </protectedRanges>
  <mergeCells count="2">
    <mergeCell ref="A1:B2"/>
    <mergeCell ref="C1:H2"/>
  </mergeCells>
  <phoneticPr fontId="1" type="noConversion"/>
  <dataValidations count="3">
    <dataValidation type="list" allowBlank="1" showInputMessage="1" showErrorMessage="1" sqref="B4" xr:uid="{0B382CDC-90C4-4AE0-9727-FE27306FF3A1}">
      <formula1>"MO,TU,WE,TH,FR,SA,SU"</formula1>
    </dataValidation>
    <dataValidation type="list" allowBlank="1" showInputMessage="1" showErrorMessage="1" sqref="C1:C76" xr:uid="{DC1F2511-379C-48C6-89C6-D52C3F440B20}">
      <formula1>"收,支"</formula1>
    </dataValidation>
    <dataValidation type="list" allowBlank="1" showInputMessage="1" showErrorMessage="1" sqref="D1:D76" xr:uid="{0C21BB09-794D-4BCD-BE1D-4DA4952F38A4}">
      <formula1>"饮食,学习,生活,外务,增值,特别立项"</formula1>
    </dataValidation>
  </dataValidations>
  <hyperlinks>
    <hyperlink ref="A1:B2" location="主页!A1" display="返回主页" xr:uid="{3B521D8B-7E69-4F69-9372-243DF8D67729}"/>
    <hyperlink ref="C1:H2" location="Sheet48最后数!A1" display="2024年一月综合财报" xr:uid="{E2DF4A8D-FE1D-4B2A-AD9B-BEE1B95CF51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FE51-748E-407B-84D5-F6DF8C3E5F31}">
  <sheetPr codeName="Sheet14"/>
  <dimension ref="A1:H76"/>
  <sheetViews>
    <sheetView workbookViewId="0">
      <selection sqref="A1:B2"/>
    </sheetView>
  </sheetViews>
  <sheetFormatPr defaultRowHeight="13.9" x14ac:dyDescent="0.4"/>
  <sheetData>
    <row r="1" spans="1:8" x14ac:dyDescent="0.4">
      <c r="A1" s="78" t="s">
        <v>1</v>
      </c>
      <c r="B1" s="78"/>
      <c r="C1" s="79"/>
      <c r="D1" s="78"/>
      <c r="E1" s="78"/>
      <c r="F1" s="78"/>
      <c r="G1" s="78"/>
      <c r="H1" s="78"/>
    </row>
    <row r="2" spans="1:8" x14ac:dyDescent="0.4">
      <c r="A2" s="78"/>
      <c r="B2" s="78"/>
      <c r="C2" s="78"/>
      <c r="D2" s="78"/>
      <c r="E2" s="78"/>
      <c r="F2" s="78"/>
      <c r="G2" s="78"/>
      <c r="H2" s="78"/>
    </row>
    <row r="3" spans="1:8" x14ac:dyDescent="0.4">
      <c r="A3" s="5"/>
      <c r="B3" s="6"/>
      <c r="C3" s="6"/>
      <c r="D3" s="6"/>
      <c r="E3" s="6"/>
      <c r="F3" s="6"/>
      <c r="G3" s="6"/>
      <c r="H3" s="6"/>
    </row>
    <row r="4" spans="1:8" x14ac:dyDescent="0.4">
      <c r="A4" s="5"/>
      <c r="B4" s="6"/>
      <c r="C4" s="6"/>
      <c r="D4" s="6"/>
      <c r="E4" s="6"/>
      <c r="F4" s="6"/>
      <c r="G4" s="6"/>
      <c r="H4" s="6"/>
    </row>
    <row r="5" spans="1:8" x14ac:dyDescent="0.4">
      <c r="A5" s="5"/>
      <c r="B5" s="6"/>
      <c r="C5" s="6"/>
      <c r="D5" s="6"/>
      <c r="E5" s="6"/>
      <c r="F5" s="6"/>
      <c r="G5" s="6"/>
      <c r="H5" s="6"/>
    </row>
    <row r="6" spans="1:8" x14ac:dyDescent="0.4">
      <c r="A6" s="5"/>
      <c r="B6" s="6"/>
      <c r="C6" s="6"/>
      <c r="D6" s="6"/>
      <c r="E6" s="6"/>
      <c r="F6" s="6"/>
      <c r="G6" s="6"/>
      <c r="H6" s="6"/>
    </row>
    <row r="7" spans="1:8" x14ac:dyDescent="0.4">
      <c r="A7" s="5"/>
      <c r="B7" s="6"/>
      <c r="C7" s="6"/>
      <c r="D7" s="6"/>
      <c r="E7" s="6"/>
      <c r="F7" s="6"/>
      <c r="G7" s="6"/>
      <c r="H7" s="6"/>
    </row>
    <row r="8" spans="1:8" x14ac:dyDescent="0.4">
      <c r="A8" s="5"/>
      <c r="B8" s="6"/>
      <c r="C8" s="6"/>
      <c r="D8" s="6"/>
      <c r="E8" s="6"/>
      <c r="F8" s="6"/>
      <c r="G8" s="6"/>
      <c r="H8" s="6"/>
    </row>
    <row r="9" spans="1:8" x14ac:dyDescent="0.4">
      <c r="A9" s="5"/>
      <c r="B9" s="6"/>
      <c r="C9" s="6"/>
      <c r="D9" s="6"/>
      <c r="E9" s="6"/>
      <c r="F9" s="6"/>
      <c r="G9" s="6"/>
      <c r="H9" s="6"/>
    </row>
    <row r="10" spans="1:8" x14ac:dyDescent="0.4">
      <c r="A10" s="5"/>
      <c r="B10" s="6"/>
      <c r="C10" s="6"/>
      <c r="D10" s="6"/>
      <c r="E10" s="6"/>
      <c r="F10" s="6"/>
      <c r="G10" s="6"/>
      <c r="H10" s="6"/>
    </row>
    <row r="11" spans="1:8" x14ac:dyDescent="0.4">
      <c r="A11" s="5"/>
      <c r="B11" s="6"/>
      <c r="C11" s="6"/>
      <c r="D11" s="6"/>
      <c r="E11" s="6"/>
      <c r="F11" s="6"/>
      <c r="G11" s="6"/>
      <c r="H11" s="6"/>
    </row>
    <row r="12" spans="1:8" x14ac:dyDescent="0.4">
      <c r="A12" s="5"/>
      <c r="B12" s="6"/>
      <c r="C12" s="6"/>
      <c r="D12" s="6"/>
      <c r="E12" s="6"/>
      <c r="F12" s="6"/>
      <c r="G12" s="6"/>
      <c r="H12" s="6"/>
    </row>
    <row r="13" spans="1:8" x14ac:dyDescent="0.4">
      <c r="A13" s="5"/>
      <c r="B13" s="6"/>
      <c r="C13" s="6"/>
      <c r="D13" s="6"/>
      <c r="E13" s="6"/>
      <c r="F13" s="6"/>
      <c r="G13" s="6"/>
      <c r="H13" s="6"/>
    </row>
    <row r="14" spans="1:8" x14ac:dyDescent="0.4">
      <c r="A14" s="5"/>
      <c r="B14" s="6"/>
      <c r="C14" s="6"/>
      <c r="D14" s="6"/>
      <c r="E14" s="6"/>
      <c r="F14" s="6"/>
      <c r="G14" s="6"/>
      <c r="H14" s="6"/>
    </row>
    <row r="15" spans="1:8" x14ac:dyDescent="0.4">
      <c r="A15" s="5"/>
      <c r="B15" s="6"/>
      <c r="C15" s="6"/>
      <c r="D15" s="6"/>
      <c r="E15" s="6"/>
      <c r="F15" s="6"/>
      <c r="G15" s="6"/>
      <c r="H15" s="6"/>
    </row>
    <row r="16" spans="1:8" x14ac:dyDescent="0.4">
      <c r="A16" s="5"/>
      <c r="B16" s="6"/>
      <c r="C16" s="6"/>
      <c r="D16" s="6"/>
      <c r="E16" s="6"/>
      <c r="F16" s="6"/>
      <c r="G16" s="6"/>
      <c r="H16" s="6"/>
    </row>
    <row r="17" spans="1:8" x14ac:dyDescent="0.4">
      <c r="A17" s="5"/>
      <c r="B17" s="6"/>
      <c r="C17" s="6"/>
      <c r="D17" s="6"/>
      <c r="E17" s="6"/>
      <c r="F17" s="6"/>
      <c r="G17" s="6"/>
      <c r="H17" s="6"/>
    </row>
    <row r="18" spans="1:8" x14ac:dyDescent="0.4">
      <c r="A18" s="5"/>
      <c r="B18" s="6"/>
      <c r="C18" s="6"/>
      <c r="D18" s="6"/>
      <c r="E18" s="6"/>
      <c r="F18" s="6"/>
      <c r="G18" s="6"/>
      <c r="H18" s="6"/>
    </row>
    <row r="19" spans="1:8" x14ac:dyDescent="0.4">
      <c r="A19" s="5"/>
      <c r="B19" s="6"/>
      <c r="C19" s="6"/>
      <c r="D19" s="6"/>
      <c r="E19" s="6"/>
      <c r="F19" s="6"/>
      <c r="G19" s="6"/>
      <c r="H19" s="6"/>
    </row>
    <row r="20" spans="1:8" x14ac:dyDescent="0.4">
      <c r="A20" s="5"/>
      <c r="B20" s="6"/>
      <c r="C20" s="6"/>
      <c r="D20" s="6"/>
      <c r="E20" s="6"/>
      <c r="F20" s="6"/>
      <c r="G20" s="6"/>
      <c r="H20" s="6"/>
    </row>
    <row r="21" spans="1:8" x14ac:dyDescent="0.4">
      <c r="A21" s="5"/>
      <c r="B21" s="6"/>
      <c r="C21" s="6"/>
      <c r="D21" s="6"/>
      <c r="E21" s="6"/>
      <c r="F21" s="6"/>
      <c r="G21" s="6"/>
      <c r="H21" s="6"/>
    </row>
    <row r="22" spans="1:8" x14ac:dyDescent="0.4">
      <c r="A22" s="5"/>
      <c r="B22" s="6"/>
      <c r="C22" s="6"/>
      <c r="D22" s="6"/>
      <c r="E22" s="6"/>
      <c r="F22" s="6"/>
      <c r="G22" s="6"/>
      <c r="H22" s="6"/>
    </row>
    <row r="23" spans="1:8" x14ac:dyDescent="0.4">
      <c r="A23" s="5"/>
      <c r="B23" s="6"/>
      <c r="C23" s="6"/>
      <c r="D23" s="6"/>
      <c r="E23" s="6"/>
      <c r="F23" s="6"/>
      <c r="G23" s="6"/>
      <c r="H23" s="6"/>
    </row>
    <row r="24" spans="1:8" x14ac:dyDescent="0.4">
      <c r="A24" s="5"/>
      <c r="B24" s="6"/>
      <c r="C24" s="6"/>
      <c r="D24" s="6"/>
      <c r="E24" s="6"/>
      <c r="F24" s="6"/>
      <c r="G24" s="6"/>
      <c r="H24" s="6"/>
    </row>
    <row r="25" spans="1:8" x14ac:dyDescent="0.4">
      <c r="A25" s="5"/>
      <c r="B25" s="6"/>
      <c r="C25" s="6"/>
      <c r="D25" s="6"/>
      <c r="E25" s="6"/>
      <c r="F25" s="6"/>
      <c r="G25" s="6"/>
      <c r="H25" s="6"/>
    </row>
    <row r="26" spans="1:8" x14ac:dyDescent="0.4">
      <c r="A26" s="5"/>
      <c r="B26" s="6"/>
      <c r="C26" s="6"/>
      <c r="D26" s="6"/>
      <c r="E26" s="6"/>
      <c r="F26" s="6"/>
      <c r="G26" s="6"/>
      <c r="H26" s="6"/>
    </row>
    <row r="27" spans="1:8" x14ac:dyDescent="0.4">
      <c r="A27" s="5"/>
      <c r="B27" s="6"/>
      <c r="C27" s="6"/>
      <c r="D27" s="6"/>
      <c r="E27" s="6"/>
      <c r="F27" s="6"/>
      <c r="G27" s="6"/>
      <c r="H27" s="6"/>
    </row>
    <row r="28" spans="1:8" x14ac:dyDescent="0.4">
      <c r="A28" s="5"/>
      <c r="B28" s="6"/>
      <c r="C28" s="6"/>
      <c r="D28" s="6"/>
      <c r="E28" s="6"/>
      <c r="F28" s="6"/>
      <c r="G28" s="6"/>
      <c r="H28" s="6"/>
    </row>
    <row r="29" spans="1:8" x14ac:dyDescent="0.4">
      <c r="A29" s="5"/>
      <c r="B29" s="6"/>
      <c r="C29" s="6"/>
      <c r="D29" s="6"/>
      <c r="E29" s="6"/>
      <c r="F29" s="6"/>
      <c r="G29" s="6"/>
      <c r="H29" s="6"/>
    </row>
    <row r="30" spans="1:8" x14ac:dyDescent="0.4">
      <c r="A30" s="5"/>
      <c r="B30" s="6"/>
      <c r="C30" s="6"/>
      <c r="D30" s="6"/>
      <c r="E30" s="6"/>
      <c r="F30" s="6"/>
      <c r="G30" s="6"/>
      <c r="H30" s="6"/>
    </row>
    <row r="31" spans="1:8" x14ac:dyDescent="0.4">
      <c r="A31" s="5"/>
      <c r="B31" s="6"/>
      <c r="C31" s="6"/>
      <c r="D31" s="6"/>
      <c r="E31" s="6"/>
      <c r="F31" s="6"/>
      <c r="G31" s="6"/>
      <c r="H31" s="6"/>
    </row>
    <row r="32" spans="1:8" x14ac:dyDescent="0.4">
      <c r="A32" s="5"/>
      <c r="B32" s="6"/>
      <c r="C32" s="6"/>
      <c r="D32" s="6"/>
      <c r="E32" s="6"/>
      <c r="F32" s="6"/>
      <c r="G32" s="6"/>
      <c r="H32" s="6"/>
    </row>
    <row r="33" spans="1:8" x14ac:dyDescent="0.4">
      <c r="A33" s="5"/>
      <c r="B33" s="6"/>
      <c r="C33" s="6"/>
      <c r="D33" s="6"/>
      <c r="E33" s="6"/>
      <c r="F33" s="6"/>
      <c r="G33" s="6"/>
      <c r="H33" s="6"/>
    </row>
    <row r="34" spans="1:8" x14ac:dyDescent="0.4">
      <c r="A34" s="5"/>
      <c r="B34" s="6"/>
      <c r="C34" s="6"/>
      <c r="D34" s="6"/>
      <c r="E34" s="6"/>
      <c r="F34" s="6"/>
      <c r="G34" s="6"/>
      <c r="H34" s="6"/>
    </row>
    <row r="35" spans="1:8" x14ac:dyDescent="0.4">
      <c r="A35" s="5"/>
      <c r="B35" s="6"/>
      <c r="C35" s="6"/>
      <c r="D35" s="6"/>
      <c r="E35" s="6"/>
      <c r="F35" s="6"/>
      <c r="G35" s="6"/>
      <c r="H35" s="6"/>
    </row>
    <row r="36" spans="1:8" x14ac:dyDescent="0.4">
      <c r="A36" s="5"/>
      <c r="B36" s="6"/>
      <c r="C36" s="6"/>
      <c r="D36" s="6"/>
      <c r="E36" s="6"/>
      <c r="F36" s="6"/>
      <c r="G36" s="6"/>
      <c r="H36" s="6"/>
    </row>
    <row r="37" spans="1:8" x14ac:dyDescent="0.4">
      <c r="A37" s="5"/>
      <c r="B37" s="6"/>
      <c r="C37" s="6"/>
      <c r="D37" s="6"/>
      <c r="E37" s="6"/>
      <c r="F37" s="6"/>
      <c r="G37" s="6"/>
      <c r="H37" s="6"/>
    </row>
    <row r="38" spans="1:8" x14ac:dyDescent="0.4">
      <c r="A38" s="5"/>
      <c r="B38" s="6"/>
      <c r="C38" s="6"/>
      <c r="D38" s="6"/>
      <c r="E38" s="6"/>
      <c r="F38" s="6"/>
      <c r="G38" s="6"/>
      <c r="H38" s="6"/>
    </row>
    <row r="39" spans="1:8" x14ac:dyDescent="0.4">
      <c r="A39" s="5"/>
      <c r="B39" s="6"/>
      <c r="C39" s="6"/>
      <c r="D39" s="6"/>
      <c r="E39" s="6"/>
      <c r="F39" s="6"/>
      <c r="G39" s="6"/>
      <c r="H39" s="6"/>
    </row>
    <row r="40" spans="1:8" x14ac:dyDescent="0.4">
      <c r="A40" s="5"/>
      <c r="B40" s="6"/>
      <c r="C40" s="6"/>
      <c r="D40" s="6"/>
      <c r="E40" s="6"/>
      <c r="F40" s="6"/>
      <c r="G40" s="6"/>
      <c r="H40" s="6"/>
    </row>
    <row r="41" spans="1:8" x14ac:dyDescent="0.4">
      <c r="A41" s="5"/>
      <c r="B41" s="6"/>
      <c r="C41" s="6"/>
      <c r="D41" s="6"/>
      <c r="E41" s="6"/>
      <c r="F41" s="6"/>
      <c r="G41" s="6"/>
      <c r="H41" s="6"/>
    </row>
    <row r="42" spans="1:8" x14ac:dyDescent="0.4">
      <c r="A42" s="5"/>
      <c r="B42" s="6"/>
      <c r="C42" s="6"/>
      <c r="D42" s="6"/>
      <c r="E42" s="6"/>
      <c r="F42" s="6"/>
      <c r="G42" s="6"/>
      <c r="H42" s="6"/>
    </row>
    <row r="43" spans="1:8" x14ac:dyDescent="0.4">
      <c r="A43" s="5"/>
      <c r="B43" s="6"/>
      <c r="C43" s="6"/>
      <c r="D43" s="6"/>
      <c r="E43" s="6"/>
      <c r="F43" s="6"/>
      <c r="G43" s="6"/>
      <c r="H43" s="6"/>
    </row>
    <row r="44" spans="1:8" x14ac:dyDescent="0.4">
      <c r="A44" s="5"/>
      <c r="B44" s="6"/>
      <c r="C44" s="6"/>
      <c r="D44" s="6"/>
      <c r="E44" s="6"/>
      <c r="F44" s="6"/>
      <c r="G44" s="6"/>
      <c r="H44" s="6"/>
    </row>
    <row r="45" spans="1:8" x14ac:dyDescent="0.4">
      <c r="A45" s="5"/>
      <c r="B45" s="6"/>
      <c r="C45" s="6"/>
      <c r="D45" s="6"/>
      <c r="E45" s="6"/>
      <c r="F45" s="6"/>
      <c r="G45" s="6"/>
      <c r="H45" s="6"/>
    </row>
    <row r="46" spans="1:8" x14ac:dyDescent="0.4">
      <c r="A46" s="5"/>
      <c r="B46" s="6"/>
      <c r="C46" s="6"/>
      <c r="D46" s="6"/>
      <c r="E46" s="6"/>
      <c r="F46" s="6"/>
      <c r="G46" s="6"/>
      <c r="H46" s="6"/>
    </row>
    <row r="47" spans="1:8" x14ac:dyDescent="0.4">
      <c r="A47" s="5"/>
      <c r="B47" s="6"/>
      <c r="C47" s="6"/>
      <c r="D47" s="6"/>
      <c r="E47" s="6"/>
      <c r="F47" s="6"/>
      <c r="G47" s="6"/>
      <c r="H47" s="6"/>
    </row>
    <row r="48" spans="1:8" x14ac:dyDescent="0.4">
      <c r="A48" s="5"/>
      <c r="B48" s="6"/>
      <c r="C48" s="6"/>
      <c r="D48" s="6"/>
      <c r="E48" s="6"/>
      <c r="F48" s="6"/>
      <c r="G48" s="6"/>
      <c r="H48" s="6"/>
    </row>
    <row r="49" spans="1:8" x14ac:dyDescent="0.4">
      <c r="A49" s="5"/>
      <c r="B49" s="6"/>
      <c r="C49" s="6"/>
      <c r="D49" s="6"/>
      <c r="E49" s="6"/>
      <c r="F49" s="6"/>
      <c r="G49" s="6"/>
      <c r="H49" s="6"/>
    </row>
    <row r="50" spans="1:8" x14ac:dyDescent="0.4">
      <c r="A50" s="5"/>
      <c r="B50" s="6"/>
      <c r="C50" s="6"/>
      <c r="D50" s="6"/>
      <c r="E50" s="6"/>
      <c r="F50" s="6"/>
      <c r="G50" s="6"/>
      <c r="H50" s="6"/>
    </row>
    <row r="51" spans="1:8" x14ac:dyDescent="0.4">
      <c r="A51" s="5"/>
      <c r="B51" s="6"/>
      <c r="C51" s="6"/>
      <c r="D51" s="6"/>
      <c r="E51" s="6"/>
      <c r="F51" s="6"/>
      <c r="G51" s="6"/>
      <c r="H51" s="6"/>
    </row>
    <row r="52" spans="1:8" x14ac:dyDescent="0.4">
      <c r="A52" s="5"/>
      <c r="B52" s="6"/>
      <c r="C52" s="6"/>
      <c r="D52" s="6"/>
      <c r="E52" s="6"/>
      <c r="F52" s="6"/>
      <c r="G52" s="6"/>
      <c r="H52" s="6"/>
    </row>
    <row r="53" spans="1:8" x14ac:dyDescent="0.4">
      <c r="A53" s="5"/>
      <c r="B53" s="6"/>
      <c r="C53" s="6"/>
      <c r="D53" s="6"/>
      <c r="E53" s="6"/>
      <c r="F53" s="6"/>
      <c r="G53" s="6"/>
      <c r="H53" s="6"/>
    </row>
    <row r="54" spans="1:8" x14ac:dyDescent="0.4">
      <c r="A54" s="5"/>
      <c r="B54" s="6"/>
      <c r="C54" s="6"/>
      <c r="D54" s="6"/>
      <c r="E54" s="6"/>
      <c r="F54" s="6"/>
      <c r="G54" s="6"/>
      <c r="H54" s="6"/>
    </row>
    <row r="55" spans="1:8" x14ac:dyDescent="0.4">
      <c r="A55" s="5"/>
      <c r="B55" s="6"/>
      <c r="C55" s="6"/>
      <c r="D55" s="6"/>
      <c r="E55" s="6"/>
      <c r="F55" s="6"/>
      <c r="G55" s="6"/>
      <c r="H55" s="6"/>
    </row>
    <row r="56" spans="1:8" x14ac:dyDescent="0.4">
      <c r="A56" s="5"/>
      <c r="B56" s="6"/>
      <c r="C56" s="6"/>
      <c r="D56" s="6"/>
      <c r="E56" s="6"/>
      <c r="F56" s="6"/>
      <c r="G56" s="6"/>
      <c r="H56" s="6"/>
    </row>
    <row r="57" spans="1:8" x14ac:dyDescent="0.4">
      <c r="A57" s="5"/>
      <c r="B57" s="6"/>
      <c r="C57" s="6"/>
      <c r="D57" s="6"/>
      <c r="E57" s="6"/>
      <c r="F57" s="6"/>
      <c r="G57" s="6"/>
      <c r="H57" s="6"/>
    </row>
    <row r="58" spans="1:8" x14ac:dyDescent="0.4">
      <c r="A58" s="5"/>
      <c r="B58" s="6"/>
      <c r="C58" s="6"/>
      <c r="D58" s="6"/>
      <c r="E58" s="6"/>
      <c r="F58" s="6"/>
      <c r="G58" s="6"/>
      <c r="H58" s="6"/>
    </row>
    <row r="59" spans="1:8" x14ac:dyDescent="0.4">
      <c r="A59" s="5"/>
      <c r="B59" s="6"/>
      <c r="C59" s="6"/>
      <c r="D59" s="6"/>
      <c r="E59" s="6"/>
      <c r="F59" s="6"/>
      <c r="G59" s="6"/>
      <c r="H59" s="6"/>
    </row>
    <row r="60" spans="1:8" x14ac:dyDescent="0.4">
      <c r="A60" s="5"/>
      <c r="B60" s="6"/>
      <c r="C60" s="6"/>
      <c r="D60" s="6"/>
      <c r="E60" s="6"/>
      <c r="F60" s="6"/>
      <c r="G60" s="6"/>
      <c r="H60" s="6"/>
    </row>
    <row r="61" spans="1:8" x14ac:dyDescent="0.4">
      <c r="A61" s="5"/>
      <c r="B61" s="6"/>
      <c r="C61" s="6"/>
      <c r="D61" s="6"/>
      <c r="E61" s="6"/>
      <c r="F61" s="6"/>
      <c r="G61" s="6"/>
      <c r="H61" s="6"/>
    </row>
    <row r="62" spans="1:8" x14ac:dyDescent="0.4">
      <c r="A62" s="5"/>
      <c r="B62" s="6"/>
      <c r="C62" s="6"/>
      <c r="D62" s="6"/>
      <c r="E62" s="6"/>
      <c r="F62" s="6"/>
      <c r="G62" s="6"/>
      <c r="H62" s="6"/>
    </row>
    <row r="63" spans="1:8" x14ac:dyDescent="0.4">
      <c r="A63" s="5"/>
      <c r="B63" s="6"/>
      <c r="C63" s="6"/>
      <c r="D63" s="6"/>
      <c r="E63" s="6"/>
      <c r="F63" s="6"/>
      <c r="G63" s="6"/>
      <c r="H63" s="6"/>
    </row>
    <row r="64" spans="1:8" x14ac:dyDescent="0.4">
      <c r="A64" s="5"/>
      <c r="B64" s="6"/>
      <c r="C64" s="6"/>
      <c r="D64" s="6"/>
      <c r="E64" s="6"/>
      <c r="F64" s="6"/>
      <c r="G64" s="6"/>
      <c r="H64" s="6"/>
    </row>
    <row r="65" spans="1:8" x14ac:dyDescent="0.4">
      <c r="A65" s="5"/>
      <c r="B65" s="6"/>
      <c r="C65" s="6"/>
      <c r="D65" s="6"/>
      <c r="E65" s="6"/>
      <c r="F65" s="6"/>
      <c r="G65" s="6"/>
      <c r="H65" s="6"/>
    </row>
    <row r="66" spans="1:8" x14ac:dyDescent="0.4">
      <c r="A66" s="5"/>
      <c r="B66" s="6"/>
      <c r="C66" s="6"/>
      <c r="D66" s="6"/>
      <c r="E66" s="6"/>
      <c r="F66" s="6"/>
      <c r="G66" s="6"/>
      <c r="H66" s="6"/>
    </row>
    <row r="67" spans="1:8" x14ac:dyDescent="0.4">
      <c r="A67" s="5"/>
      <c r="B67" s="6"/>
      <c r="C67" s="6"/>
      <c r="D67" s="6"/>
      <c r="E67" s="6"/>
      <c r="F67" s="6"/>
      <c r="G67" s="6"/>
      <c r="H67" s="6"/>
    </row>
    <row r="68" spans="1:8" x14ac:dyDescent="0.4">
      <c r="A68" s="5"/>
      <c r="B68" s="6"/>
      <c r="C68" s="6"/>
      <c r="D68" s="6"/>
      <c r="E68" s="6"/>
      <c r="F68" s="6"/>
      <c r="G68" s="6"/>
      <c r="H68" s="6"/>
    </row>
    <row r="69" spans="1:8" x14ac:dyDescent="0.4">
      <c r="A69" s="5"/>
      <c r="B69" s="6"/>
      <c r="C69" s="6"/>
      <c r="D69" s="6"/>
      <c r="E69" s="6"/>
      <c r="F69" s="6"/>
      <c r="G69" s="6"/>
      <c r="H69" s="6"/>
    </row>
    <row r="70" spans="1:8" x14ac:dyDescent="0.4">
      <c r="A70" s="5"/>
      <c r="B70" s="6"/>
      <c r="C70" s="6"/>
      <c r="D70" s="6"/>
      <c r="E70" s="6"/>
      <c r="F70" s="6"/>
      <c r="G70" s="6"/>
      <c r="H70" s="6"/>
    </row>
    <row r="71" spans="1:8" x14ac:dyDescent="0.4">
      <c r="A71" s="5"/>
      <c r="B71" s="6"/>
      <c r="C71" s="6"/>
      <c r="D71" s="6"/>
      <c r="E71" s="6"/>
      <c r="F71" s="6"/>
      <c r="G71" s="6"/>
      <c r="H71" s="6"/>
    </row>
    <row r="72" spans="1:8" x14ac:dyDescent="0.4">
      <c r="A72" s="5"/>
      <c r="B72" s="6"/>
      <c r="C72" s="6"/>
      <c r="D72" s="6"/>
      <c r="E72" s="6"/>
      <c r="F72" s="6"/>
      <c r="G72" s="6"/>
      <c r="H72" s="6"/>
    </row>
    <row r="73" spans="1:8" x14ac:dyDescent="0.4">
      <c r="A73" s="5"/>
      <c r="B73" s="6"/>
      <c r="C73" s="6"/>
      <c r="D73" s="6"/>
      <c r="E73" s="6"/>
      <c r="F73" s="6"/>
      <c r="G73" s="6"/>
      <c r="H73" s="6"/>
    </row>
    <row r="74" spans="1:8" x14ac:dyDescent="0.4">
      <c r="A74" s="5"/>
      <c r="B74" s="6"/>
      <c r="C74" s="6"/>
      <c r="D74" s="6"/>
      <c r="E74" s="6"/>
      <c r="F74" s="6"/>
      <c r="G74" s="6"/>
      <c r="H74" s="6"/>
    </row>
    <row r="75" spans="1:8" x14ac:dyDescent="0.4">
      <c r="A75" s="5"/>
      <c r="B75" s="6"/>
      <c r="C75" s="6"/>
      <c r="D75" s="6"/>
      <c r="E75" s="6"/>
      <c r="F75" s="6"/>
      <c r="G75" s="6"/>
      <c r="H75" s="6"/>
    </row>
    <row r="76" spans="1:8" x14ac:dyDescent="0.4">
      <c r="A76" s="5"/>
      <c r="B76" s="6"/>
      <c r="C76" s="6"/>
      <c r="D76" s="6"/>
      <c r="E76" s="6"/>
      <c r="F76" s="6"/>
      <c r="G76" s="6"/>
      <c r="H76" s="6"/>
    </row>
  </sheetData>
  <protectedRanges>
    <protectedRange sqref="A4:H76" name="编辑区"/>
  </protectedRanges>
  <mergeCells count="2">
    <mergeCell ref="A1:B2"/>
    <mergeCell ref="C1:H2"/>
  </mergeCells>
  <phoneticPr fontId="1" type="noConversion"/>
  <dataValidations count="3">
    <dataValidation type="list" allowBlank="1" showInputMessage="1" showErrorMessage="1" sqref="B4" xr:uid="{C4D8C2A7-BFBF-45ED-8DC0-084782DF1931}">
      <formula1>"MO,TU,WE,TH,FR,SA,SU"</formula1>
    </dataValidation>
    <dataValidation type="list" allowBlank="1" showInputMessage="1" showErrorMessage="1" sqref="C1:C76" xr:uid="{C5123716-6D42-46A1-95DC-E10D8F2C1409}">
      <formula1>"收,支"</formula1>
    </dataValidation>
    <dataValidation type="list" allowBlank="1" showInputMessage="1" showErrorMessage="1" sqref="D1:D76" xr:uid="{393BF5A4-A4C7-44A5-ADF1-773BDB6B3EF6}">
      <formula1>"饮食,学习,生活,外务,增值,特别立项"</formula1>
    </dataValidation>
  </dataValidations>
  <hyperlinks>
    <hyperlink ref="A1:B2" location="主页!A1" display="返回主页" xr:uid="{CBAA2C21-FC8D-4792-9344-831286E0991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6600-DA73-4DDE-9B1D-B34266960FB4}">
  <sheetPr codeName="Sheet15"/>
  <dimension ref="A1:BX137"/>
  <sheetViews>
    <sheetView showGridLines="0" tabSelected="1" topLeftCell="T53" zoomScale="70" zoomScaleNormal="70" workbookViewId="0">
      <selection activeCell="AH65" sqref="AH65"/>
    </sheetView>
  </sheetViews>
  <sheetFormatPr defaultRowHeight="13.9" x14ac:dyDescent="0.4"/>
  <cols>
    <col min="3" max="3" width="11.33203125" customWidth="1"/>
    <col min="4" max="4" width="11.796875" bestFit="1" customWidth="1"/>
    <col min="8" max="8" width="30.06640625" customWidth="1"/>
    <col min="10" max="10" width="9.06640625" customWidth="1"/>
    <col min="11" max="11" width="27.19921875" customWidth="1"/>
    <col min="14" max="14" width="23.796875" customWidth="1"/>
    <col min="30" max="30" width="17.6640625" customWidth="1"/>
    <col min="33" max="33" width="17.33203125" customWidth="1"/>
    <col min="36" max="36" width="17.53125" customWidth="1"/>
    <col min="39" max="39" width="18.1328125" customWidth="1"/>
  </cols>
  <sheetData>
    <row r="1" spans="1:2" x14ac:dyDescent="0.4">
      <c r="A1" s="98"/>
      <c r="B1" s="98"/>
    </row>
    <row r="2" spans="1:2" x14ac:dyDescent="0.4">
      <c r="A2" s="98"/>
      <c r="B2" s="98"/>
    </row>
    <row r="26" spans="24:76" ht="14.25" thickBot="1" x14ac:dyDescent="0.45"/>
    <row r="27" spans="24:76" x14ac:dyDescent="0.4">
      <c r="X27" s="54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6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8"/>
    </row>
    <row r="28" spans="24:76" x14ac:dyDescent="0.4">
      <c r="X28" s="59"/>
      <c r="Y28" s="51"/>
      <c r="Z28" s="51"/>
      <c r="AA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BG28" t="s">
        <v>118</v>
      </c>
      <c r="BX28" s="60"/>
    </row>
    <row r="29" spans="24:76" ht="44.65" x14ac:dyDescent="1.1499999999999999">
      <c r="X29" s="59"/>
      <c r="Y29" s="53" t="s">
        <v>52</v>
      </c>
      <c r="Z29" s="51"/>
      <c r="AA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BG29" s="43" t="s">
        <v>116</v>
      </c>
      <c r="BH29" s="43" t="s">
        <v>117</v>
      </c>
      <c r="BX29" s="60"/>
    </row>
    <row r="30" spans="24:76" x14ac:dyDescent="0.4">
      <c r="X30" s="59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BG30" s="50">
        <v>9</v>
      </c>
      <c r="BH30" s="50">
        <v>2798.73</v>
      </c>
      <c r="BX30" s="60"/>
    </row>
    <row r="31" spans="24:76" x14ac:dyDescent="0.4">
      <c r="X31" s="59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BG31" s="50">
        <v>10</v>
      </c>
      <c r="BH31" s="50">
        <v>1771.24</v>
      </c>
      <c r="BX31" s="60"/>
    </row>
    <row r="32" spans="24:76" x14ac:dyDescent="0.4">
      <c r="X32" s="59"/>
      <c r="Y32" s="32" t="s">
        <v>53</v>
      </c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BG32" s="50">
        <v>11</v>
      </c>
      <c r="BH32" s="50">
        <v>1532.44</v>
      </c>
      <c r="BX32" s="60"/>
    </row>
    <row r="33" spans="24:76" x14ac:dyDescent="0.4">
      <c r="X33" s="59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BG33" s="50">
        <v>12</v>
      </c>
      <c r="BH33" s="50">
        <v>1753.07</v>
      </c>
      <c r="BX33" s="60"/>
    </row>
    <row r="34" spans="24:76" x14ac:dyDescent="0.4">
      <c r="X34" s="61" t="s">
        <v>54</v>
      </c>
      <c r="Y34" s="35"/>
      <c r="Z34" s="35"/>
      <c r="AA34" s="35"/>
      <c r="AB34" s="51"/>
      <c r="AC34" s="99" t="s">
        <v>91</v>
      </c>
      <c r="AD34" s="99"/>
      <c r="AE34" s="51"/>
      <c r="AF34" s="99" t="s">
        <v>157</v>
      </c>
      <c r="AG34" s="99"/>
      <c r="AI34" s="88" t="s">
        <v>194</v>
      </c>
      <c r="AJ34" s="88"/>
      <c r="AK34" s="51"/>
      <c r="AL34" s="100" t="s">
        <v>228</v>
      </c>
      <c r="AM34" s="101"/>
      <c r="AO34" s="51"/>
      <c r="AP34" s="51"/>
      <c r="AQ34" s="51"/>
      <c r="AR34" s="51"/>
      <c r="AS34" s="51"/>
      <c r="AT34" s="51"/>
      <c r="BX34" s="60"/>
    </row>
    <row r="35" spans="24:76" x14ac:dyDescent="0.4">
      <c r="X35" s="59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BX35" s="60"/>
    </row>
    <row r="36" spans="24:76" x14ac:dyDescent="0.4">
      <c r="X36" s="62" t="s">
        <v>55</v>
      </c>
      <c r="Y36" s="36" t="s">
        <v>57</v>
      </c>
      <c r="Z36" s="36"/>
      <c r="AA36" s="36"/>
      <c r="AB36" s="51"/>
      <c r="AC36" s="33" t="s">
        <v>55</v>
      </c>
      <c r="AD36" s="43" t="s">
        <v>57</v>
      </c>
      <c r="AE36" s="51"/>
      <c r="AF36" s="33" t="s">
        <v>55</v>
      </c>
      <c r="AG36" s="43" t="s">
        <v>57</v>
      </c>
      <c r="AH36" s="51"/>
      <c r="AI36" s="33" t="s">
        <v>55</v>
      </c>
      <c r="AJ36" s="43" t="s">
        <v>57</v>
      </c>
      <c r="AK36" s="51"/>
      <c r="AL36" s="33" t="s">
        <v>55</v>
      </c>
      <c r="AM36" s="43" t="s">
        <v>57</v>
      </c>
      <c r="AN36" s="51"/>
      <c r="AO36" s="51"/>
      <c r="AP36" s="51"/>
      <c r="AQ36" s="51"/>
      <c r="AR36" s="51"/>
      <c r="AS36" s="51"/>
      <c r="AT36" s="51"/>
      <c r="BG36" s="50" t="s">
        <v>195</v>
      </c>
      <c r="BH36" s="50" t="s">
        <v>7</v>
      </c>
      <c r="BI36" s="51"/>
      <c r="BX36" s="60"/>
    </row>
    <row r="37" spans="24:76" x14ac:dyDescent="0.4">
      <c r="X37" s="63" t="s">
        <v>17</v>
      </c>
      <c r="Y37" s="35">
        <v>56.68</v>
      </c>
      <c r="Z37" s="35"/>
      <c r="AA37" s="35"/>
      <c r="AB37" s="51"/>
      <c r="AC37" s="34" t="s">
        <v>17</v>
      </c>
      <c r="AD37" s="43">
        <v>900.78</v>
      </c>
      <c r="AE37" s="51"/>
      <c r="AF37" s="34" t="s">
        <v>17</v>
      </c>
      <c r="AG37" s="43">
        <v>574.52</v>
      </c>
      <c r="AH37" s="51"/>
      <c r="AI37" s="34" t="s">
        <v>17</v>
      </c>
      <c r="AJ37" s="43">
        <v>288.08</v>
      </c>
      <c r="AK37" s="51"/>
      <c r="AL37" s="34" t="s">
        <v>17</v>
      </c>
      <c r="AM37" s="43">
        <v>118.39</v>
      </c>
      <c r="AN37" s="51"/>
      <c r="AO37" s="51"/>
      <c r="AP37" s="51"/>
      <c r="AQ37" s="51"/>
      <c r="AR37" s="51"/>
      <c r="AS37" s="51"/>
      <c r="AT37" s="51"/>
      <c r="BG37" s="39">
        <v>1</v>
      </c>
      <c r="BH37" s="39">
        <v>892.97</v>
      </c>
      <c r="BI37" s="51"/>
      <c r="BX37" s="60"/>
    </row>
    <row r="38" spans="24:76" x14ac:dyDescent="0.4">
      <c r="X38" s="63" t="s">
        <v>44</v>
      </c>
      <c r="Y38" s="35">
        <v>372.07</v>
      </c>
      <c r="Z38" s="35"/>
      <c r="AA38" s="35"/>
      <c r="AB38" s="51"/>
      <c r="AC38" s="34" t="s">
        <v>44</v>
      </c>
      <c r="AD38" s="43">
        <v>372.07</v>
      </c>
      <c r="AE38" s="51"/>
      <c r="AF38" s="34" t="s">
        <v>44</v>
      </c>
      <c r="AG38" s="43">
        <v>372.07</v>
      </c>
      <c r="AH38" s="51"/>
      <c r="AI38" s="34" t="s">
        <v>44</v>
      </c>
      <c r="AJ38" s="43">
        <v>372.07</v>
      </c>
      <c r="AK38" s="51"/>
      <c r="AL38" s="34" t="s">
        <v>44</v>
      </c>
      <c r="AM38" s="43">
        <v>372.07</v>
      </c>
      <c r="AN38" s="51"/>
      <c r="AO38" s="51"/>
      <c r="AP38" s="51"/>
      <c r="AQ38" s="51"/>
      <c r="AR38" s="51"/>
      <c r="AS38" s="51"/>
      <c r="AT38" s="51"/>
      <c r="BG38" s="39">
        <v>2</v>
      </c>
      <c r="BH38" s="39">
        <v>1585.01</v>
      </c>
      <c r="BX38" s="60"/>
    </row>
    <row r="39" spans="24:76" x14ac:dyDescent="0.4">
      <c r="X39" s="63" t="s">
        <v>13</v>
      </c>
      <c r="Y39" s="35">
        <v>6.1399999999999988</v>
      </c>
      <c r="Z39" s="35"/>
      <c r="AA39" s="35"/>
      <c r="AB39" s="51"/>
      <c r="AC39" s="34" t="s">
        <v>13</v>
      </c>
      <c r="AD39" s="43">
        <v>41</v>
      </c>
      <c r="AE39" s="51"/>
      <c r="AF39" s="34" t="s">
        <v>13</v>
      </c>
      <c r="AG39" s="43">
        <v>13.85</v>
      </c>
      <c r="AH39" s="51"/>
      <c r="AI39" s="34" t="s">
        <v>10</v>
      </c>
      <c r="AJ39" s="43">
        <v>53.68</v>
      </c>
      <c r="AK39" s="51"/>
      <c r="AL39" s="34" t="s">
        <v>10</v>
      </c>
      <c r="AM39" s="43">
        <v>89.600000000000009</v>
      </c>
      <c r="AN39" s="51"/>
      <c r="AO39" s="51"/>
      <c r="AP39" s="51"/>
      <c r="AQ39" s="51"/>
      <c r="AR39" s="51"/>
      <c r="AS39" s="51"/>
      <c r="AT39" s="51"/>
      <c r="BG39" s="39">
        <v>3</v>
      </c>
      <c r="BH39" s="39">
        <v>1781.46</v>
      </c>
      <c r="BX39" s="60"/>
    </row>
    <row r="40" spans="24:76" x14ac:dyDescent="0.4">
      <c r="X40" s="63" t="s">
        <v>10</v>
      </c>
      <c r="Y40" s="35">
        <v>160.58000000000001</v>
      </c>
      <c r="Z40" s="35"/>
      <c r="AA40" s="35"/>
      <c r="AC40" s="34" t="s">
        <v>10</v>
      </c>
      <c r="AD40" s="43">
        <v>73.36</v>
      </c>
      <c r="AE40" s="51"/>
      <c r="AF40" s="34" t="s">
        <v>10</v>
      </c>
      <c r="AG40" s="43">
        <v>86.6</v>
      </c>
      <c r="AH40" s="51"/>
      <c r="AI40" s="34" t="s">
        <v>19</v>
      </c>
      <c r="AJ40" s="43">
        <v>698.59999999999991</v>
      </c>
      <c r="AK40" s="51"/>
      <c r="AL40" s="34" t="s">
        <v>19</v>
      </c>
      <c r="AM40" s="43">
        <v>653.9</v>
      </c>
      <c r="AN40" s="51"/>
      <c r="AO40" s="51"/>
      <c r="AP40" s="51"/>
      <c r="AQ40" s="51"/>
      <c r="AR40" s="51"/>
      <c r="AS40" s="51"/>
      <c r="AT40" s="51"/>
      <c r="BG40" s="39">
        <v>4</v>
      </c>
      <c r="BH40" s="39">
        <v>1412.43</v>
      </c>
      <c r="BX40" s="60"/>
    </row>
    <row r="41" spans="24:76" x14ac:dyDescent="0.4">
      <c r="X41" s="63" t="s">
        <v>19</v>
      </c>
      <c r="Y41" s="35">
        <v>297.5</v>
      </c>
      <c r="Z41" s="35"/>
      <c r="AA41" s="35"/>
      <c r="AC41" s="34" t="s">
        <v>19</v>
      </c>
      <c r="AD41" s="43">
        <v>197.8</v>
      </c>
      <c r="AE41" s="51"/>
      <c r="AF41" s="34" t="s">
        <v>19</v>
      </c>
      <c r="AG41" s="43">
        <v>734.42</v>
      </c>
      <c r="AH41" s="51"/>
      <c r="AI41" s="34" t="s">
        <v>56</v>
      </c>
      <c r="AJ41" s="43">
        <v>1412.4299999999998</v>
      </c>
      <c r="AK41" s="51"/>
      <c r="AL41" s="34" t="s">
        <v>56</v>
      </c>
      <c r="AM41" s="43">
        <v>1233.96</v>
      </c>
      <c r="AN41" s="51"/>
      <c r="AO41" s="51"/>
      <c r="AP41" s="51"/>
      <c r="AQ41" s="51"/>
      <c r="AR41" s="51"/>
      <c r="AS41" s="51"/>
      <c r="AT41" s="51"/>
      <c r="BG41" s="39">
        <v>5</v>
      </c>
      <c r="BH41" s="39"/>
      <c r="BX41" s="60"/>
    </row>
    <row r="42" spans="24:76" x14ac:dyDescent="0.4">
      <c r="X42" s="63" t="s">
        <v>56</v>
      </c>
      <c r="Y42" s="36">
        <v>892.97</v>
      </c>
      <c r="Z42" s="36"/>
      <c r="AA42" s="36"/>
      <c r="AC42" s="34" t="s">
        <v>56</v>
      </c>
      <c r="AD42" s="43">
        <v>1585.0099999999998</v>
      </c>
      <c r="AE42" s="51"/>
      <c r="AF42" s="34" t="s">
        <v>56</v>
      </c>
      <c r="AG42" s="43">
        <v>1781.46</v>
      </c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BG42" s="39">
        <v>6</v>
      </c>
      <c r="BH42" s="39"/>
      <c r="BX42" s="60"/>
    </row>
    <row r="43" spans="24:76" x14ac:dyDescent="0.4">
      <c r="X43" s="59"/>
      <c r="AC43" s="51"/>
      <c r="AD43" s="51"/>
      <c r="AE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BG43" s="39">
        <v>7</v>
      </c>
      <c r="BH43" s="39"/>
      <c r="BX43" s="60"/>
    </row>
    <row r="44" spans="24:76" x14ac:dyDescent="0.4">
      <c r="X44" s="59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BX44" s="60"/>
    </row>
    <row r="45" spans="24:76" x14ac:dyDescent="0.4">
      <c r="X45" s="59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BX45" s="60"/>
    </row>
    <row r="46" spans="24:76" x14ac:dyDescent="0.4">
      <c r="X46" s="59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BX46" s="60"/>
    </row>
    <row r="47" spans="24:76" x14ac:dyDescent="0.4">
      <c r="X47" s="59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BX47" s="60"/>
    </row>
    <row r="48" spans="24:76" x14ac:dyDescent="0.4">
      <c r="X48" s="59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BX48" s="60"/>
    </row>
    <row r="49" spans="24:76" x14ac:dyDescent="0.4">
      <c r="X49" s="59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BX49" s="60"/>
    </row>
    <row r="50" spans="24:76" x14ac:dyDescent="0.4">
      <c r="X50" s="59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BX50" s="60"/>
    </row>
    <row r="51" spans="24:76" x14ac:dyDescent="0.4">
      <c r="X51" s="59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BX51" s="60"/>
    </row>
    <row r="52" spans="24:76" x14ac:dyDescent="0.4">
      <c r="X52" s="59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BX52" s="60"/>
    </row>
    <row r="53" spans="24:76" x14ac:dyDescent="0.4">
      <c r="X53" s="59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BX53" s="60"/>
    </row>
    <row r="54" spans="24:76" x14ac:dyDescent="0.4">
      <c r="X54" s="59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BX54" s="60"/>
    </row>
    <row r="55" spans="24:76" x14ac:dyDescent="0.4">
      <c r="X55" s="59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BX55" s="60"/>
    </row>
    <row r="56" spans="24:76" x14ac:dyDescent="0.4">
      <c r="X56" s="59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49"/>
      <c r="AU56" s="52"/>
      <c r="BX56" s="60"/>
    </row>
    <row r="57" spans="24:76" x14ac:dyDescent="0.4">
      <c r="X57" s="64"/>
      <c r="BX57" s="60"/>
    </row>
    <row r="58" spans="24:76" x14ac:dyDescent="0.4">
      <c r="X58" s="64"/>
      <c r="BX58" s="60"/>
    </row>
    <row r="59" spans="24:76" x14ac:dyDescent="0.4">
      <c r="X59" s="64"/>
      <c r="BX59" s="60"/>
    </row>
    <row r="60" spans="24:76" x14ac:dyDescent="0.4">
      <c r="X60" s="70"/>
      <c r="AG60" s="68" t="s">
        <v>55</v>
      </c>
      <c r="AH60" t="s">
        <v>57</v>
      </c>
      <c r="BX60" s="60"/>
    </row>
    <row r="61" spans="24:76" x14ac:dyDescent="0.4">
      <c r="X61" s="70"/>
      <c r="Y61" s="33" t="s">
        <v>55</v>
      </c>
      <c r="Z61" s="43" t="s">
        <v>57</v>
      </c>
      <c r="AC61" s="33" t="s">
        <v>55</v>
      </c>
      <c r="AD61" s="43" t="s">
        <v>57</v>
      </c>
      <c r="AG61" s="69" t="s">
        <v>17</v>
      </c>
      <c r="AH61">
        <v>1413.6999999999998</v>
      </c>
      <c r="BX61" s="60"/>
    </row>
    <row r="62" spans="24:76" x14ac:dyDescent="0.4">
      <c r="X62" s="70"/>
      <c r="Y62" s="34" t="s">
        <v>17</v>
      </c>
      <c r="Z62" s="43">
        <v>133.29000000000002</v>
      </c>
      <c r="AC62" s="34" t="s">
        <v>17</v>
      </c>
      <c r="AD62" s="43">
        <v>370.40999999999997</v>
      </c>
      <c r="AG62" s="69" t="s">
        <v>44</v>
      </c>
      <c r="AH62">
        <v>1116.1600000000001</v>
      </c>
      <c r="BX62" s="60"/>
    </row>
    <row r="63" spans="24:76" x14ac:dyDescent="0.4">
      <c r="X63" s="70"/>
      <c r="Y63" s="34" t="s">
        <v>44</v>
      </c>
      <c r="Z63" s="43">
        <v>372.07</v>
      </c>
      <c r="AC63" s="34" t="s">
        <v>44</v>
      </c>
      <c r="AD63" s="43">
        <v>372.07</v>
      </c>
      <c r="AG63" s="69" t="s">
        <v>13</v>
      </c>
      <c r="AH63">
        <v>263</v>
      </c>
      <c r="BX63" s="60"/>
    </row>
    <row r="64" spans="24:76" x14ac:dyDescent="0.4">
      <c r="X64" s="70"/>
      <c r="Y64" s="34" t="s">
        <v>10</v>
      </c>
      <c r="Z64" s="43">
        <v>9.9</v>
      </c>
      <c r="AC64" s="34" t="s">
        <v>10</v>
      </c>
      <c r="AD64" s="43">
        <v>8569.7999999999993</v>
      </c>
      <c r="AG64" s="69" t="s">
        <v>10</v>
      </c>
      <c r="AH64">
        <v>92.76</v>
      </c>
      <c r="BX64" s="60"/>
    </row>
    <row r="65" spans="24:76" x14ac:dyDescent="0.4">
      <c r="X65" s="70"/>
      <c r="Y65" s="34" t="s">
        <v>19</v>
      </c>
      <c r="Z65" s="43">
        <v>749.59</v>
      </c>
      <c r="AC65" s="34" t="s">
        <v>19</v>
      </c>
      <c r="AD65" s="43">
        <v>563.67999999999995</v>
      </c>
      <c r="AG65" s="69" t="s">
        <v>19</v>
      </c>
      <c r="AH65">
        <v>567.26</v>
      </c>
      <c r="BX65" s="60"/>
    </row>
    <row r="66" spans="24:76" x14ac:dyDescent="0.4">
      <c r="X66" s="70"/>
      <c r="Y66" s="34" t="s">
        <v>56</v>
      </c>
      <c r="Z66" s="43">
        <v>1264.8499999999999</v>
      </c>
      <c r="AC66" s="34" t="s">
        <v>290</v>
      </c>
      <c r="AD66" s="43"/>
      <c r="AG66" s="69" t="s">
        <v>290</v>
      </c>
      <c r="BX66" s="60"/>
    </row>
    <row r="67" spans="24:76" x14ac:dyDescent="0.4">
      <c r="X67" s="70"/>
      <c r="AC67" s="34" t="s">
        <v>56</v>
      </c>
      <c r="AD67" s="43">
        <v>9875.9599999999991</v>
      </c>
      <c r="AG67" s="69" t="s">
        <v>56</v>
      </c>
      <c r="AH67">
        <v>3452.88</v>
      </c>
      <c r="BX67" s="60"/>
    </row>
    <row r="68" spans="24:76" x14ac:dyDescent="0.4">
      <c r="X68" s="70"/>
      <c r="BX68" s="60"/>
    </row>
    <row r="69" spans="24:76" x14ac:dyDescent="0.4">
      <c r="X69" s="64"/>
      <c r="BX69" s="60"/>
    </row>
    <row r="70" spans="24:76" x14ac:dyDescent="0.4">
      <c r="X70" s="64"/>
      <c r="BX70" s="60"/>
    </row>
    <row r="71" spans="24:76" x14ac:dyDescent="0.4">
      <c r="X71" s="64"/>
      <c r="BX71" s="60"/>
    </row>
    <row r="72" spans="24:76" x14ac:dyDescent="0.4">
      <c r="X72" s="64"/>
      <c r="BX72" s="60"/>
    </row>
    <row r="73" spans="24:76" x14ac:dyDescent="0.4">
      <c r="X73" s="64"/>
      <c r="BX73" s="60"/>
    </row>
    <row r="74" spans="24:76" x14ac:dyDescent="0.4">
      <c r="X74" s="64"/>
      <c r="BX74" s="60"/>
    </row>
    <row r="75" spans="24:76" x14ac:dyDescent="0.4">
      <c r="X75" s="64"/>
      <c r="BX75" s="60"/>
    </row>
    <row r="76" spans="24:76" x14ac:dyDescent="0.4">
      <c r="X76" s="64"/>
      <c r="BX76" s="60"/>
    </row>
    <row r="77" spans="24:76" x14ac:dyDescent="0.4">
      <c r="X77" s="64"/>
      <c r="BX77" s="60"/>
    </row>
    <row r="78" spans="24:76" x14ac:dyDescent="0.4">
      <c r="X78" s="64"/>
      <c r="BX78" s="60"/>
    </row>
    <row r="79" spans="24:76" x14ac:dyDescent="0.4">
      <c r="X79" s="64"/>
      <c r="BX79" s="60"/>
    </row>
    <row r="80" spans="24:76" x14ac:dyDescent="0.4">
      <c r="X80" s="64"/>
      <c r="BX80" s="60"/>
    </row>
    <row r="81" spans="24:76" x14ac:dyDescent="0.4">
      <c r="X81" s="64"/>
      <c r="BX81" s="60"/>
    </row>
    <row r="82" spans="24:76" x14ac:dyDescent="0.4">
      <c r="X82" s="64"/>
      <c r="BX82" s="60"/>
    </row>
    <row r="83" spans="24:76" x14ac:dyDescent="0.4">
      <c r="X83" s="64"/>
      <c r="BX83" s="60"/>
    </row>
    <row r="84" spans="24:76" x14ac:dyDescent="0.4">
      <c r="X84" s="64"/>
      <c r="BX84" s="60"/>
    </row>
    <row r="85" spans="24:76" x14ac:dyDescent="0.4">
      <c r="X85" s="64"/>
      <c r="BX85" s="60"/>
    </row>
    <row r="86" spans="24:76" x14ac:dyDescent="0.4">
      <c r="X86" s="64"/>
      <c r="BX86" s="60"/>
    </row>
    <row r="87" spans="24:76" x14ac:dyDescent="0.4">
      <c r="X87" s="64"/>
      <c r="BX87" s="60"/>
    </row>
    <row r="88" spans="24:76" x14ac:dyDescent="0.4">
      <c r="X88" s="64"/>
      <c r="BX88" s="60"/>
    </row>
    <row r="89" spans="24:76" x14ac:dyDescent="0.4">
      <c r="X89" s="64"/>
      <c r="BX89" s="60"/>
    </row>
    <row r="90" spans="24:76" x14ac:dyDescent="0.4">
      <c r="X90" s="64"/>
      <c r="BX90" s="60"/>
    </row>
    <row r="91" spans="24:76" x14ac:dyDescent="0.4">
      <c r="X91" s="64"/>
      <c r="BX91" s="60"/>
    </row>
    <row r="92" spans="24:76" x14ac:dyDescent="0.4">
      <c r="X92" s="64"/>
      <c r="BX92" s="60"/>
    </row>
    <row r="93" spans="24:76" x14ac:dyDescent="0.4">
      <c r="X93" s="64"/>
      <c r="BX93" s="60"/>
    </row>
    <row r="94" spans="24:76" x14ac:dyDescent="0.4">
      <c r="X94" s="64"/>
      <c r="BX94" s="60"/>
    </row>
    <row r="95" spans="24:76" x14ac:dyDescent="0.4">
      <c r="X95" s="64"/>
      <c r="BX95" s="60"/>
    </row>
    <row r="96" spans="24:76" x14ac:dyDescent="0.4">
      <c r="X96" s="64"/>
      <c r="BX96" s="60"/>
    </row>
    <row r="97" spans="24:76" x14ac:dyDescent="0.4">
      <c r="X97" s="64"/>
      <c r="BX97" s="60"/>
    </row>
    <row r="98" spans="24:76" x14ac:dyDescent="0.4">
      <c r="X98" s="64"/>
      <c r="BX98" s="60"/>
    </row>
    <row r="99" spans="24:76" x14ac:dyDescent="0.4">
      <c r="X99" s="64"/>
      <c r="BX99" s="60"/>
    </row>
    <row r="100" spans="24:76" x14ac:dyDescent="0.4">
      <c r="X100" s="64"/>
      <c r="BX100" s="60"/>
    </row>
    <row r="101" spans="24:76" x14ac:dyDescent="0.4">
      <c r="X101" s="64"/>
      <c r="BX101" s="60"/>
    </row>
    <row r="102" spans="24:76" x14ac:dyDescent="0.4">
      <c r="X102" s="64"/>
      <c r="BX102" s="60"/>
    </row>
    <row r="103" spans="24:76" x14ac:dyDescent="0.4">
      <c r="X103" s="64"/>
      <c r="BX103" s="60"/>
    </row>
    <row r="104" spans="24:76" x14ac:dyDescent="0.4">
      <c r="X104" s="64"/>
      <c r="BX104" s="60"/>
    </row>
    <row r="105" spans="24:76" x14ac:dyDescent="0.4">
      <c r="X105" s="64"/>
      <c r="BX105" s="60"/>
    </row>
    <row r="106" spans="24:76" x14ac:dyDescent="0.4">
      <c r="X106" s="64"/>
      <c r="BX106" s="60"/>
    </row>
    <row r="107" spans="24:76" x14ac:dyDescent="0.4">
      <c r="X107" s="64"/>
      <c r="BX107" s="60"/>
    </row>
    <row r="108" spans="24:76" x14ac:dyDescent="0.4">
      <c r="X108" s="64"/>
      <c r="BX108" s="60"/>
    </row>
    <row r="109" spans="24:76" x14ac:dyDescent="0.4">
      <c r="X109" s="64"/>
      <c r="BX109" s="60"/>
    </row>
    <row r="110" spans="24:76" x14ac:dyDescent="0.4">
      <c r="X110" s="64"/>
      <c r="BX110" s="60"/>
    </row>
    <row r="111" spans="24:76" x14ac:dyDescent="0.4">
      <c r="X111" s="64"/>
      <c r="BX111" s="60"/>
    </row>
    <row r="112" spans="24:76" x14ac:dyDescent="0.4">
      <c r="X112" s="64"/>
      <c r="BX112" s="60"/>
    </row>
    <row r="113" spans="24:76" x14ac:dyDescent="0.4">
      <c r="X113" s="64"/>
      <c r="BX113" s="60"/>
    </row>
    <row r="114" spans="24:76" x14ac:dyDescent="0.4">
      <c r="X114" s="64"/>
      <c r="BX114" s="60"/>
    </row>
    <row r="115" spans="24:76" x14ac:dyDescent="0.4">
      <c r="X115" s="64"/>
      <c r="BX115" s="60"/>
    </row>
    <row r="116" spans="24:76" x14ac:dyDescent="0.4">
      <c r="X116" s="64"/>
      <c r="BX116" s="60"/>
    </row>
    <row r="117" spans="24:76" x14ac:dyDescent="0.4">
      <c r="X117" s="64"/>
      <c r="BX117" s="60"/>
    </row>
    <row r="118" spans="24:76" x14ac:dyDescent="0.4">
      <c r="X118" s="64"/>
      <c r="BX118" s="60"/>
    </row>
    <row r="119" spans="24:76" x14ac:dyDescent="0.4">
      <c r="X119" s="64"/>
      <c r="BX119" s="60"/>
    </row>
    <row r="120" spans="24:76" x14ac:dyDescent="0.4">
      <c r="X120" s="64"/>
      <c r="BX120" s="60"/>
    </row>
    <row r="121" spans="24:76" x14ac:dyDescent="0.4">
      <c r="X121" s="64"/>
      <c r="BX121" s="60"/>
    </row>
    <row r="122" spans="24:76" x14ac:dyDescent="0.4">
      <c r="X122" s="64"/>
      <c r="BX122" s="60"/>
    </row>
    <row r="123" spans="24:76" x14ac:dyDescent="0.4">
      <c r="X123" s="64"/>
      <c r="BX123" s="60"/>
    </row>
    <row r="124" spans="24:76" x14ac:dyDescent="0.4">
      <c r="X124" s="64"/>
      <c r="BX124" s="60"/>
    </row>
    <row r="125" spans="24:76" x14ac:dyDescent="0.4">
      <c r="X125" s="64"/>
      <c r="BX125" s="60"/>
    </row>
    <row r="126" spans="24:76" x14ac:dyDescent="0.4">
      <c r="X126" s="64"/>
      <c r="BX126" s="60"/>
    </row>
    <row r="127" spans="24:76" x14ac:dyDescent="0.4">
      <c r="X127" s="64"/>
      <c r="BX127" s="60"/>
    </row>
    <row r="128" spans="24:76" x14ac:dyDescent="0.4">
      <c r="X128" s="64"/>
      <c r="BX128" s="60"/>
    </row>
    <row r="129" spans="24:76" x14ac:dyDescent="0.4">
      <c r="X129" s="64"/>
      <c r="BX129" s="60"/>
    </row>
    <row r="130" spans="24:76" x14ac:dyDescent="0.4">
      <c r="X130" s="64"/>
      <c r="BX130" s="60"/>
    </row>
    <row r="131" spans="24:76" x14ac:dyDescent="0.4">
      <c r="X131" s="64"/>
      <c r="BX131" s="60"/>
    </row>
    <row r="132" spans="24:76" x14ac:dyDescent="0.4">
      <c r="X132" s="64"/>
      <c r="BX132" s="60"/>
    </row>
    <row r="133" spans="24:76" x14ac:dyDescent="0.4">
      <c r="X133" s="64"/>
      <c r="BX133" s="60"/>
    </row>
    <row r="134" spans="24:76" x14ac:dyDescent="0.4">
      <c r="X134" s="64"/>
      <c r="BX134" s="60"/>
    </row>
    <row r="135" spans="24:76" x14ac:dyDescent="0.4">
      <c r="X135" s="64"/>
      <c r="BX135" s="60"/>
    </row>
    <row r="136" spans="24:76" x14ac:dyDescent="0.4">
      <c r="X136" s="64"/>
      <c r="BX136" s="60"/>
    </row>
    <row r="137" spans="24:76" ht="14.25" thickBot="1" x14ac:dyDescent="0.45">
      <c r="X137" s="65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66"/>
      <c r="BR137" s="66"/>
      <c r="BS137" s="66"/>
      <c r="BT137" s="66"/>
      <c r="BU137" s="66"/>
      <c r="BV137" s="66"/>
      <c r="BW137" s="66"/>
      <c r="BX137" s="67"/>
    </row>
  </sheetData>
  <mergeCells count="5">
    <mergeCell ref="A1:B2"/>
    <mergeCell ref="AC34:AD34"/>
    <mergeCell ref="AF34:AG34"/>
    <mergeCell ref="AI34:AJ34"/>
    <mergeCell ref="AL34:AM34"/>
  </mergeCells>
  <phoneticPr fontId="1" type="noConversion"/>
  <hyperlinks>
    <hyperlink ref="Y32" location="主页!A1" display="返回主页" xr:uid="{CD2237AE-8CD2-4CEB-A1A0-35D2A20EEA4C}"/>
    <hyperlink ref="X34" location="Sheet35!A1" display="一月" xr:uid="{559D2598-BAB4-4942-A57D-0572E7EC2C40}"/>
    <hyperlink ref="AC34:AD34" location="主页!A1" display="二月" xr:uid="{7D2B4356-A936-4869-9AD9-40EE9EA75D7B}"/>
    <hyperlink ref="AF34:AG34" location="主页!A1" display="三月" xr:uid="{E3C2E517-8CB6-4C64-808F-1CD076E125D8}"/>
    <hyperlink ref="AI34:AJ34" location="主页!A1" display="四月" xr:uid="{0E573411-6831-4451-B2E7-5ACC6A932E76}"/>
    <hyperlink ref="AL34:AM34" location="主页!A1" display="五月" xr:uid="{9A158C23-384F-43AD-904B-B48C7C970EC6}"/>
  </hyperlinks>
  <pageMargins left="0.7" right="0.7" top="0.75" bottom="0.75" header="0.3" footer="0.3"/>
  <pageSetup paperSize="9"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主页</vt:lpstr>
      <vt:lpstr>Sheet35</vt:lpstr>
      <vt:lpstr>Sheet36</vt:lpstr>
      <vt:lpstr>Sheet37</vt:lpstr>
      <vt:lpstr>Sheet38</vt:lpstr>
      <vt:lpstr>Sheet39</vt:lpstr>
      <vt:lpstr>Sheet40</vt:lpstr>
      <vt:lpstr>Sheet42</vt:lpstr>
      <vt:lpstr>Sheet6</vt:lpstr>
      <vt:lpstr>Sheet41</vt:lpstr>
      <vt:lpstr>Sheet43</vt:lpstr>
      <vt:lpstr>Sheet44</vt:lpstr>
      <vt:lpstr>Sheet45</vt:lpstr>
      <vt:lpstr>Sheet46</vt:lpstr>
      <vt:lpstr>Sheet47</vt:lpstr>
      <vt:lpstr>Sheet48最后数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mark bunee</cp:lastModifiedBy>
  <dcterms:created xsi:type="dcterms:W3CDTF">2015-06-05T18:19:34Z</dcterms:created>
  <dcterms:modified xsi:type="dcterms:W3CDTF">2024-12-21T15:20:50Z</dcterms:modified>
</cp:coreProperties>
</file>