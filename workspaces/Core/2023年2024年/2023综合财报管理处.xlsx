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IECT\东阁\"/>
    </mc:Choice>
  </mc:AlternateContent>
  <xr:revisionPtr revIDLastSave="0" documentId="13_ncr:1_{A04F4286-0F22-45C8-8278-D2459C96126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支出" sheetId="1" r:id="rId1"/>
    <sheet name="收入" sheetId="2" r:id="rId2"/>
    <sheet name="8.9月办卡业务统计区" sheetId="3" r:id="rId3"/>
    <sheet name="其他统计" sheetId="5" r:id="rId4"/>
  </sheets>
  <definedNames>
    <definedName name="_xlnm._FilterDatabase" localSheetId="0" hidden="1">支出!$A$261:$F$334</definedName>
    <definedName name="ref_6_3066550" localSheetId="3">其他统计!$A$2</definedName>
    <definedName name="ref_7_3066550" localSheetId="3">其他统计!$A$4</definedName>
  </definedNames>
  <calcPr calcId="191029"/>
  <pivotCaches>
    <pivotCache cacheId="8" r:id="rId5"/>
    <pivotCache cacheId="9" r:id="rId6"/>
    <pivotCache cacheId="10" r:id="rId7"/>
    <pivotCache cacheId="1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7" i="1" l="1"/>
  <c r="C315" i="1"/>
  <c r="C313" i="1"/>
  <c r="C306" i="1"/>
  <c r="C308" i="1"/>
  <c r="F304" i="1"/>
  <c r="C304" i="1" s="1"/>
  <c r="F303" i="1"/>
  <c r="F302" i="1"/>
  <c r="F301" i="1"/>
  <c r="C287" i="1"/>
  <c r="C288" i="1"/>
  <c r="C290" i="1"/>
  <c r="C292" i="1"/>
  <c r="C295" i="1"/>
  <c r="C297" i="1"/>
  <c r="F299" i="1"/>
  <c r="C298" i="1" s="1"/>
  <c r="C67" i="5"/>
  <c r="F283" i="1"/>
  <c r="F280" i="1"/>
  <c r="F284" i="1"/>
  <c r="F281" i="1"/>
  <c r="F278" i="1"/>
  <c r="C263" i="1"/>
  <c r="C266" i="1"/>
  <c r="C268" i="1"/>
  <c r="C270" i="1"/>
  <c r="F275" i="1"/>
  <c r="C275" i="1" s="1"/>
  <c r="F273" i="1"/>
  <c r="C273" i="1" s="1"/>
  <c r="C251" i="1"/>
  <c r="C249" i="1"/>
  <c r="C248" i="1"/>
  <c r="F244" i="1"/>
  <c r="F243" i="1"/>
  <c r="C238" i="1"/>
  <c r="F237" i="1"/>
  <c r="C58" i="5"/>
  <c r="C57" i="5"/>
  <c r="C197" i="1"/>
  <c r="F236" i="1"/>
  <c r="C234" i="1" s="1"/>
  <c r="F233" i="1"/>
  <c r="C231" i="1"/>
  <c r="C229" i="1"/>
  <c r="C225" i="1"/>
  <c r="F223" i="1"/>
  <c r="C223" i="1" s="1"/>
  <c r="C220" i="1"/>
  <c r="F220" i="1"/>
  <c r="C215" i="1"/>
  <c r="F214" i="1"/>
  <c r="F202" i="1"/>
  <c r="C201" i="1" s="1"/>
  <c r="F195" i="1"/>
  <c r="C195" i="1" s="1"/>
  <c r="F193" i="1"/>
  <c r="F200" i="1"/>
  <c r="C200" i="1" s="1"/>
  <c r="F204" i="1"/>
  <c r="C204" i="1" s="1"/>
  <c r="F205" i="1"/>
  <c r="C205" i="1" s="1"/>
  <c r="F206" i="1"/>
  <c r="C206" i="1" s="1"/>
  <c r="F207" i="1"/>
  <c r="C207" i="1" s="1"/>
  <c r="F209" i="1"/>
  <c r="C209" i="1" s="1"/>
  <c r="F212" i="1"/>
  <c r="C21" i="2"/>
  <c r="D185" i="1"/>
  <c r="E185" i="1"/>
  <c r="I12" i="1"/>
  <c r="F173" i="1"/>
  <c r="C173" i="1" s="1"/>
  <c r="F168" i="1"/>
  <c r="C168" i="1" s="1"/>
  <c r="F167" i="1"/>
  <c r="C181" i="1"/>
  <c r="C175" i="1"/>
  <c r="C171" i="1"/>
  <c r="C165" i="1"/>
  <c r="F179" i="1"/>
  <c r="C178" i="1" s="1"/>
  <c r="F177" i="1"/>
  <c r="C160" i="1"/>
  <c r="F166" i="1"/>
  <c r="F164" i="1"/>
  <c r="C162" i="1" s="1"/>
  <c r="E4" i="3"/>
  <c r="F160" i="1"/>
  <c r="C52" i="5"/>
  <c r="C50" i="5"/>
  <c r="C49" i="5"/>
  <c r="C47" i="5"/>
  <c r="C46" i="5"/>
  <c r="C45" i="5"/>
  <c r="F157" i="1"/>
  <c r="C156" i="1" s="1"/>
  <c r="F155" i="1"/>
  <c r="F152" i="1"/>
  <c r="C152" i="1" s="1"/>
  <c r="F150" i="1"/>
  <c r="C149" i="1" s="1"/>
  <c r="C133" i="1"/>
  <c r="C125" i="1"/>
  <c r="F120" i="1"/>
  <c r="C143" i="1"/>
  <c r="F140" i="1"/>
  <c r="C140" i="1" s="1"/>
  <c r="F138" i="1"/>
  <c r="C138" i="1" s="1"/>
  <c r="F136" i="1"/>
  <c r="C136" i="1" s="1"/>
  <c r="C97" i="1"/>
  <c r="C100" i="1"/>
  <c r="C104" i="1"/>
  <c r="F132" i="1"/>
  <c r="C132" i="1" s="1"/>
  <c r="F129" i="1"/>
  <c r="C129" i="1" s="1"/>
  <c r="D14" i="2"/>
  <c r="C107" i="1"/>
  <c r="F112" i="1"/>
  <c r="C110" i="1" s="1"/>
  <c r="C32" i="5"/>
  <c r="C34" i="5" s="1"/>
  <c r="D11" i="2"/>
  <c r="C12" i="2" s="1"/>
  <c r="C37" i="1"/>
  <c r="C89" i="1"/>
  <c r="C87" i="1"/>
  <c r="C66" i="1"/>
  <c r="C84" i="1"/>
  <c r="C80" i="1"/>
  <c r="C76" i="1"/>
  <c r="C19" i="5"/>
  <c r="C18" i="5"/>
  <c r="C17" i="5"/>
  <c r="C14" i="5"/>
  <c r="C15" i="5"/>
  <c r="C16" i="5"/>
  <c r="C68" i="1"/>
  <c r="C48" i="1"/>
  <c r="C44" i="1"/>
  <c r="C3" i="1"/>
  <c r="C40" i="1"/>
  <c r="C31" i="1"/>
  <c r="C23" i="1"/>
  <c r="C16" i="1"/>
  <c r="C283" i="1" l="1"/>
  <c r="C66" i="5"/>
  <c r="C65" i="5"/>
  <c r="C280" i="1"/>
  <c r="C243" i="1"/>
  <c r="C59" i="5"/>
  <c r="C212" i="1"/>
  <c r="C55" i="5" s="1"/>
  <c r="F185" i="1"/>
  <c r="C2" i="1"/>
  <c r="D12" i="2"/>
  <c r="C69" i="5" l="1"/>
</calcChain>
</file>

<file path=xl/sharedStrings.xml><?xml version="1.0" encoding="utf-8"?>
<sst xmlns="http://schemas.openxmlformats.org/spreadsheetml/2006/main" count="937" uniqueCount="371">
  <si>
    <t>SA</t>
  </si>
  <si>
    <t>哈喽出行</t>
  </si>
  <si>
    <t>拼多多高级笔记本</t>
  </si>
  <si>
    <t>MO</t>
  </si>
  <si>
    <t>拼多多一般笔记本</t>
  </si>
  <si>
    <t>拼多多笔芯0.5</t>
  </si>
  <si>
    <t>拼多多笔芯按动</t>
  </si>
  <si>
    <t>拼多多日光灯</t>
  </si>
  <si>
    <t>插排</t>
  </si>
  <si>
    <t>锁头x2</t>
  </si>
  <si>
    <t>军训服装</t>
  </si>
  <si>
    <t>晚饭</t>
  </si>
  <si>
    <t>SU</t>
  </si>
  <si>
    <t>早饭 3+4</t>
  </si>
  <si>
    <t>哈喽包月</t>
  </si>
  <si>
    <t>午饭</t>
  </si>
  <si>
    <t>路由器 合资四人</t>
  </si>
  <si>
    <t>网线</t>
  </si>
  <si>
    <t>梯子 合资双人151</t>
  </si>
  <si>
    <t>早餐</t>
  </si>
  <si>
    <t>一卡移动话费</t>
  </si>
  <si>
    <t>午餐</t>
  </si>
  <si>
    <t>晚餐</t>
  </si>
  <si>
    <t>TU</t>
    <phoneticPr fontId="2" type="noConversion"/>
  </si>
  <si>
    <t>早餐</t>
    <phoneticPr fontId="2" type="noConversion"/>
  </si>
  <si>
    <t>桶装饮水</t>
    <phoneticPr fontId="2" type="noConversion"/>
  </si>
  <si>
    <t>日常饮食</t>
    <phoneticPr fontId="2" type="noConversion"/>
  </si>
  <si>
    <t>午餐</t>
    <phoneticPr fontId="2" type="noConversion"/>
  </si>
  <si>
    <t>晚餐</t>
    <phoneticPr fontId="2" type="noConversion"/>
  </si>
  <si>
    <t>弟学习用书</t>
    <phoneticPr fontId="2" type="noConversion"/>
  </si>
  <si>
    <t>WE</t>
    <phoneticPr fontId="2" type="noConversion"/>
  </si>
  <si>
    <t>陈权合资水费2.25未交</t>
    <phoneticPr fontId="2" type="noConversion"/>
  </si>
  <si>
    <t>校服</t>
    <phoneticPr fontId="2" type="noConversion"/>
  </si>
  <si>
    <t>餐费</t>
    <phoneticPr fontId="2" type="noConversion"/>
  </si>
  <si>
    <t>TH</t>
    <phoneticPr fontId="2" type="noConversion"/>
  </si>
  <si>
    <t>DD订水60押金</t>
    <phoneticPr fontId="2" type="noConversion"/>
  </si>
  <si>
    <t>明天早餐双人合资13.6元</t>
    <phoneticPr fontId="2" type="noConversion"/>
  </si>
  <si>
    <t>DD订水四人合资</t>
    <phoneticPr fontId="2" type="noConversion"/>
  </si>
  <si>
    <t>时间</t>
    <phoneticPr fontId="2" type="noConversion"/>
  </si>
  <si>
    <t>微信号</t>
    <phoneticPr fontId="2" type="noConversion"/>
  </si>
  <si>
    <t>运营商</t>
    <phoneticPr fontId="2" type="noConversion"/>
  </si>
  <si>
    <t>补贴详细</t>
    <phoneticPr fontId="2" type="noConversion"/>
  </si>
  <si>
    <t>KDB17LD77</t>
    <phoneticPr fontId="2" type="noConversion"/>
  </si>
  <si>
    <t>联通</t>
    <phoneticPr fontId="2" type="noConversion"/>
  </si>
  <si>
    <t>SamJH-</t>
    <phoneticPr fontId="2" type="noConversion"/>
  </si>
  <si>
    <t>移动</t>
    <phoneticPr fontId="2" type="noConversion"/>
  </si>
  <si>
    <t>xx13168823354</t>
    <phoneticPr fontId="2" type="noConversion"/>
  </si>
  <si>
    <t>40+15</t>
    <phoneticPr fontId="2" type="noConversion"/>
  </si>
  <si>
    <t>前期自己号投入100实际生活确实需要</t>
    <phoneticPr fontId="2" type="noConversion"/>
  </si>
  <si>
    <t>rys0025</t>
    <phoneticPr fontId="2" type="noConversion"/>
  </si>
  <si>
    <t>ju1145784568</t>
    <phoneticPr fontId="2" type="noConversion"/>
  </si>
  <si>
    <t>日常开销维持建议</t>
    <phoneticPr fontId="2" type="noConversion"/>
  </si>
  <si>
    <t>日期</t>
    <phoneticPr fontId="2" type="noConversion"/>
  </si>
  <si>
    <t>星期</t>
    <phoneticPr fontId="2" type="noConversion"/>
  </si>
  <si>
    <t>DETAIL</t>
    <phoneticPr fontId="2" type="noConversion"/>
  </si>
  <si>
    <t>支出</t>
    <phoneticPr fontId="2" type="noConversion"/>
  </si>
  <si>
    <t>MA</t>
    <phoneticPr fontId="2" type="noConversion"/>
  </si>
  <si>
    <t>八月办卡</t>
    <phoneticPr fontId="2" type="noConversion"/>
  </si>
  <si>
    <t>费用</t>
    <phoneticPr fontId="2" type="noConversion"/>
  </si>
  <si>
    <t>身份证复印</t>
    <phoneticPr fontId="2" type="noConversion"/>
  </si>
  <si>
    <t>EARNING</t>
    <phoneticPr fontId="2" type="noConversion"/>
  </si>
  <si>
    <t>FR</t>
    <phoneticPr fontId="2" type="noConversion"/>
  </si>
  <si>
    <t>无早餐 午餐12 晚餐15</t>
    <phoneticPr fontId="2" type="noConversion"/>
  </si>
  <si>
    <t>地铁8元 公交2+2元</t>
    <phoneticPr fontId="2" type="noConversion"/>
  </si>
  <si>
    <t>类型</t>
    <phoneticPr fontId="2" type="noConversion"/>
  </si>
  <si>
    <t>SA</t>
    <phoneticPr fontId="2" type="noConversion"/>
  </si>
  <si>
    <t>公交</t>
    <phoneticPr fontId="2" type="noConversion"/>
  </si>
  <si>
    <t>地铁</t>
    <phoneticPr fontId="2" type="noConversion"/>
  </si>
  <si>
    <t>办卡业务</t>
    <phoneticPr fontId="2" type="noConversion"/>
  </si>
  <si>
    <t>日合计</t>
    <phoneticPr fontId="2" type="noConversion"/>
  </si>
  <si>
    <t>双面胶</t>
    <phoneticPr fontId="2" type="noConversion"/>
  </si>
  <si>
    <t>教材</t>
    <phoneticPr fontId="2" type="noConversion"/>
  </si>
  <si>
    <t>《时事报告大学生版》</t>
  </si>
  <si>
    <t>普通化学</t>
    <phoneticPr fontId="2" type="noConversion"/>
  </si>
  <si>
    <t>高等数学上下习题</t>
    <phoneticPr fontId="2" type="noConversion"/>
  </si>
  <si>
    <t>人工智能通识教程（第2版）</t>
  </si>
  <si>
    <t>新融通大学英语阅读教程1</t>
  </si>
  <si>
    <t>新融通大学英语阅读教程2</t>
  </si>
  <si>
    <t>课本人体解剖和解剖彩图</t>
    <phoneticPr fontId="2" type="noConversion"/>
  </si>
  <si>
    <t>二手书再卖</t>
    <phoneticPr fontId="2" type="noConversion"/>
  </si>
  <si>
    <t>第一周合计</t>
    <phoneticPr fontId="2" type="noConversion"/>
  </si>
  <si>
    <t>9/2-9/9</t>
    <phoneticPr fontId="2" type="noConversion"/>
  </si>
  <si>
    <t>银行卡内</t>
    <phoneticPr fontId="2" type="noConversion"/>
  </si>
  <si>
    <t>现金</t>
    <phoneticPr fontId="2" type="noConversion"/>
  </si>
  <si>
    <t>SU</t>
    <phoneticPr fontId="2" type="noConversion"/>
  </si>
  <si>
    <t>二手书再卖10+5+10</t>
    <phoneticPr fontId="2" type="noConversion"/>
  </si>
  <si>
    <t>二手书买入总70元7+2 实用5本 高数四本无用</t>
    <phoneticPr fontId="2" type="noConversion"/>
  </si>
  <si>
    <t>二手书再卖 用部分免费领的书抵</t>
    <phoneticPr fontId="2" type="noConversion"/>
  </si>
  <si>
    <t>MO</t>
    <phoneticPr fontId="2" type="noConversion"/>
  </si>
  <si>
    <t>9元三天30天90左右   22.5一人</t>
    <phoneticPr fontId="2" type="noConversion"/>
  </si>
  <si>
    <t>电费4.88-3.05 4.94-3.09 5.96-3.73日均3.05有一日达8.69-5.76</t>
    <phoneticPr fontId="2" type="noConversion"/>
  </si>
  <si>
    <t>日均3.5平摊0.875一日一人</t>
    <phoneticPr fontId="2" type="noConversion"/>
  </si>
  <si>
    <t>农夫大瓶</t>
    <phoneticPr fontId="2" type="noConversion"/>
  </si>
  <si>
    <t>四人合资用电</t>
    <phoneticPr fontId="2" type="noConversion"/>
  </si>
  <si>
    <t>3.05/4.88</t>
    <phoneticPr fontId="2" type="noConversion"/>
  </si>
  <si>
    <t>3.18/5.08</t>
    <phoneticPr fontId="2" type="noConversion"/>
  </si>
  <si>
    <t>5.14/8.23</t>
    <phoneticPr fontId="2" type="noConversion"/>
  </si>
  <si>
    <t>1.04/1.66</t>
    <phoneticPr fontId="2" type="noConversion"/>
  </si>
  <si>
    <t>0.06/0.09</t>
    <phoneticPr fontId="2" type="noConversion"/>
  </si>
  <si>
    <t>0.84/1.35</t>
    <phoneticPr fontId="2" type="noConversion"/>
  </si>
  <si>
    <t xml:space="preserve"> 每度n元</t>
    <phoneticPr fontId="2" type="noConversion"/>
  </si>
  <si>
    <t>4+12+12=28 28*30=840</t>
    <phoneticPr fontId="2" type="noConversion"/>
  </si>
  <si>
    <t>领航大学英语：综合教程 1 学生用书   已退款</t>
    <phoneticPr fontId="2" type="noConversion"/>
  </si>
  <si>
    <t xml:space="preserve">领航大学英语：综合教程 1 学生用书   </t>
    <phoneticPr fontId="2" type="noConversion"/>
  </si>
  <si>
    <t xml:space="preserve">原稿纸 </t>
    <phoneticPr fontId="2" type="noConversion"/>
  </si>
  <si>
    <t>餐费 3+12+12</t>
    <phoneticPr fontId="2" type="noConversion"/>
  </si>
  <si>
    <t>c1744922738</t>
    <phoneticPr fontId="2" type="noConversion"/>
  </si>
  <si>
    <t>至9/13预计本月办卡业务纯利润415元</t>
    <phoneticPr fontId="2" type="noConversion"/>
  </si>
  <si>
    <t>餐费10+14</t>
    <phoneticPr fontId="2" type="noConversion"/>
  </si>
  <si>
    <t>目前卡内</t>
    <phoneticPr fontId="2" type="noConversion"/>
  </si>
  <si>
    <t>卡支出</t>
    <phoneticPr fontId="2" type="noConversion"/>
  </si>
  <si>
    <t>诚学信付</t>
    <phoneticPr fontId="2" type="noConversion"/>
  </si>
  <si>
    <t>4+12+12</t>
    <phoneticPr fontId="2" type="noConversion"/>
  </si>
  <si>
    <t>FREE大学英语</t>
  </si>
  <si>
    <t>学习</t>
  </si>
  <si>
    <t>学习</t>
    <phoneticPr fontId="2" type="noConversion"/>
  </si>
  <si>
    <t>生活</t>
  </si>
  <si>
    <t>（new）新世纪大学英语系列学习（第二版）：快速阅读 2（一书一码）</t>
  </si>
  <si>
    <t>（new）新世纪大学英语系列学习（第二版）：快速阅读 3（一书一码）</t>
  </si>
  <si>
    <t>新世纪大学英语系列学习：视听说教程（第四版）</t>
  </si>
  <si>
    <t>新世纪大学英语系列学习：视听说教程（第四版）3 学生用书</t>
  </si>
  <si>
    <t>投资</t>
  </si>
  <si>
    <t>9.4日投资快递延迟补贴   未取</t>
  </si>
  <si>
    <t>九月投资支出40</t>
  </si>
  <si>
    <t>广东汇银通商务校园饭卡（兼生活卡）</t>
  </si>
  <si>
    <t>高数二本 大学生生涯投资与就业创业能力提升 思想道德与法治</t>
  </si>
  <si>
    <t>沐浴水费押金</t>
    <phoneticPr fontId="2" type="noConversion"/>
  </si>
  <si>
    <t>生活</t>
    <phoneticPr fontId="2" type="noConversion"/>
  </si>
  <si>
    <t>外务</t>
    <phoneticPr fontId="2" type="noConversion"/>
  </si>
  <si>
    <t>四级英语报名</t>
    <phoneticPr fontId="2" type="noConversion"/>
  </si>
  <si>
    <t>9/10-9/17</t>
    <phoneticPr fontId="2" type="noConversion"/>
  </si>
  <si>
    <t>第二周合计</t>
    <phoneticPr fontId="2" type="noConversion"/>
  </si>
  <si>
    <t>9/2-9/17</t>
    <phoneticPr fontId="2" type="noConversion"/>
  </si>
  <si>
    <t>开学两周总支出</t>
    <phoneticPr fontId="2" type="noConversion"/>
  </si>
  <si>
    <t>餐费3+12+10</t>
    <phoneticPr fontId="2" type="noConversion"/>
  </si>
  <si>
    <t>餐费3+9+10</t>
    <phoneticPr fontId="2" type="noConversion"/>
  </si>
  <si>
    <t>餐费12+9</t>
    <phoneticPr fontId="2" type="noConversion"/>
  </si>
  <si>
    <t>电费</t>
    <phoneticPr fontId="2" type="noConversion"/>
  </si>
  <si>
    <t>餐费3+9+12</t>
    <phoneticPr fontId="2" type="noConversion"/>
  </si>
  <si>
    <t>餐费3+13+9</t>
    <phoneticPr fontId="2" type="noConversion"/>
  </si>
  <si>
    <t>净收入情况</t>
    <phoneticPr fontId="2" type="noConversion"/>
  </si>
  <si>
    <t>餐费3+12+12</t>
    <phoneticPr fontId="2" type="noConversion"/>
  </si>
  <si>
    <t>餐费3+7+13</t>
    <phoneticPr fontId="2" type="noConversion"/>
  </si>
  <si>
    <t>垃圾袋集资</t>
    <phoneticPr fontId="2" type="noConversion"/>
  </si>
  <si>
    <t>军训结束时总支出</t>
    <phoneticPr fontId="2" type="noConversion"/>
  </si>
  <si>
    <t>第三周合计</t>
    <phoneticPr fontId="2" type="noConversion"/>
  </si>
  <si>
    <t>9/18-9/24</t>
    <phoneticPr fontId="2" type="noConversion"/>
  </si>
  <si>
    <t>餐费4+10+12</t>
    <phoneticPr fontId="2" type="noConversion"/>
  </si>
  <si>
    <t>网络 开户60+150半年</t>
    <phoneticPr fontId="2" type="noConversion"/>
  </si>
  <si>
    <t>餐费4+12+12</t>
    <phoneticPr fontId="2" type="noConversion"/>
  </si>
  <si>
    <t>交通</t>
    <phoneticPr fontId="2" type="noConversion"/>
  </si>
  <si>
    <t>餐费4+12</t>
    <phoneticPr fontId="2" type="noConversion"/>
  </si>
  <si>
    <t>广工作业本</t>
    <phoneticPr fontId="2" type="noConversion"/>
  </si>
  <si>
    <t>生菜</t>
    <phoneticPr fontId="2" type="noConversion"/>
  </si>
  <si>
    <t>双人理发</t>
    <phoneticPr fontId="2" type="noConversion"/>
  </si>
  <si>
    <t>BA</t>
    <phoneticPr fontId="2" type="noConversion"/>
  </si>
  <si>
    <t>公交2+2地铁8</t>
    <phoneticPr fontId="2" type="noConversion"/>
  </si>
  <si>
    <t>投资</t>
    <phoneticPr fontId="2" type="noConversion"/>
  </si>
  <si>
    <t>高中舍友群和组织部部门群</t>
    <phoneticPr fontId="2" type="noConversion"/>
  </si>
  <si>
    <t>10月</t>
    <phoneticPr fontId="2" type="noConversion"/>
  </si>
  <si>
    <t>9月</t>
    <phoneticPr fontId="2" type="noConversion"/>
  </si>
  <si>
    <t>9/25-9/30</t>
    <phoneticPr fontId="2" type="noConversion"/>
  </si>
  <si>
    <t>绿卡充值 父卡充值 (使用时计入)20</t>
    <phoneticPr fontId="2" type="noConversion"/>
  </si>
  <si>
    <t>羊城通充值 (使用时计入)20</t>
    <phoneticPr fontId="2" type="noConversion"/>
  </si>
  <si>
    <t>饭卡充值（使用时计入）28</t>
    <phoneticPr fontId="2" type="noConversion"/>
  </si>
  <si>
    <t>饭卡充值（使用时计入）280</t>
    <phoneticPr fontId="2" type="noConversion"/>
  </si>
  <si>
    <t>8月投资支出100+40+30=170</t>
    <phoneticPr fontId="2" type="noConversion"/>
  </si>
  <si>
    <t>九月投资支出30+先前业务支出40+15</t>
    <phoneticPr fontId="2" type="noConversion"/>
  </si>
  <si>
    <t>第四周总支出</t>
    <phoneticPr fontId="2" type="noConversion"/>
  </si>
  <si>
    <t>9/2-9/30</t>
    <phoneticPr fontId="2" type="noConversion"/>
  </si>
  <si>
    <t>月总支出</t>
    <phoneticPr fontId="2" type="noConversion"/>
  </si>
  <si>
    <t>9月收入</t>
    <phoneticPr fontId="2" type="noConversion"/>
  </si>
  <si>
    <t>合计</t>
    <phoneticPr fontId="2" type="noConversion"/>
  </si>
  <si>
    <t>月总纳入</t>
    <phoneticPr fontId="2" type="noConversion"/>
  </si>
  <si>
    <t>月出库</t>
    <phoneticPr fontId="2" type="noConversion"/>
  </si>
  <si>
    <t>思想政治拍摄小组高中舍友群与组织部部门群10+10+10-0.62-1.19-0.38-4.09</t>
    <phoneticPr fontId="2" type="noConversion"/>
  </si>
  <si>
    <t>红包高中宿舍群10-5.26</t>
    <phoneticPr fontId="2" type="noConversion"/>
  </si>
  <si>
    <t>话费卡一</t>
    <phoneticPr fontId="2" type="noConversion"/>
  </si>
  <si>
    <t>高中宿舍群</t>
    <phoneticPr fontId="2" type="noConversion"/>
  </si>
  <si>
    <t>生菜与胡萝卜</t>
    <phoneticPr fontId="2" type="noConversion"/>
  </si>
  <si>
    <t>农夫山泉</t>
    <phoneticPr fontId="2" type="noConversion"/>
  </si>
  <si>
    <t>内务</t>
    <phoneticPr fontId="2" type="noConversion"/>
  </si>
  <si>
    <t>公交1+地铁7</t>
    <phoneticPr fontId="2" type="noConversion"/>
  </si>
  <si>
    <t>哈喽出行</t>
    <phoneticPr fontId="2" type="noConversion"/>
  </si>
  <si>
    <t>餐费3+7+9</t>
    <phoneticPr fontId="2" type="noConversion"/>
  </si>
  <si>
    <t>餐费7+12+12</t>
    <phoneticPr fontId="2" type="noConversion"/>
  </si>
  <si>
    <t>考试</t>
    <phoneticPr fontId="2" type="noConversion"/>
  </si>
  <si>
    <t>学习教材</t>
    <phoneticPr fontId="2" type="noConversion"/>
  </si>
  <si>
    <t>未来教育一套</t>
    <phoneticPr fontId="2" type="noConversion"/>
  </si>
  <si>
    <t>第六周合计</t>
    <phoneticPr fontId="2" type="noConversion"/>
  </si>
  <si>
    <t>10/1-10/8</t>
    <phoneticPr fontId="2" type="noConversion"/>
  </si>
  <si>
    <t>餐费4+13+16</t>
    <phoneticPr fontId="2" type="noConversion"/>
  </si>
  <si>
    <t>CCT计算机二级报名</t>
    <phoneticPr fontId="2" type="noConversion"/>
  </si>
  <si>
    <t>电话办卡投资</t>
    <phoneticPr fontId="2" type="noConversion"/>
  </si>
  <si>
    <t>蔡老师推广</t>
    <phoneticPr fontId="2" type="noConversion"/>
  </si>
  <si>
    <t>餐费6+9+12</t>
    <phoneticPr fontId="2" type="noConversion"/>
  </si>
  <si>
    <t>饮水</t>
    <phoneticPr fontId="2" type="noConversion"/>
  </si>
  <si>
    <t>刘泽滨慈善比赛 社交加慈善（慈善无任何收益除社交效果）</t>
    <phoneticPr fontId="2" type="noConversion"/>
  </si>
  <si>
    <t>四级英语高顿</t>
    <phoneticPr fontId="2" type="noConversion"/>
  </si>
  <si>
    <t>6+7</t>
    <phoneticPr fontId="2" type="noConversion"/>
  </si>
  <si>
    <t>其他</t>
    <phoneticPr fontId="2" type="noConversion"/>
  </si>
  <si>
    <t>图书馆逾期支付 6</t>
    <phoneticPr fontId="2" type="noConversion"/>
  </si>
  <si>
    <t>水杯</t>
    <phoneticPr fontId="2" type="noConversion"/>
  </si>
  <si>
    <t>鲈鱼</t>
    <phoneticPr fontId="2" type="noConversion"/>
  </si>
  <si>
    <t>公交1+地铁14</t>
    <phoneticPr fontId="2" type="noConversion"/>
  </si>
  <si>
    <t>统计数据差距在红包的净支出折合结果</t>
    <phoneticPr fontId="2" type="noConversion"/>
  </si>
  <si>
    <t>社交</t>
    <phoneticPr fontId="2" type="noConversion"/>
  </si>
  <si>
    <t>正兴鸡排26双份</t>
    <phoneticPr fontId="2" type="noConversion"/>
  </si>
  <si>
    <t>最终财报信息归入东阁</t>
    <phoneticPr fontId="2" type="noConversion"/>
  </si>
  <si>
    <t>餐费15.50+14</t>
    <phoneticPr fontId="2" type="noConversion"/>
  </si>
  <si>
    <t>10/1-10/15</t>
    <phoneticPr fontId="2" type="noConversion"/>
  </si>
  <si>
    <t>类型</t>
  </si>
  <si>
    <t>求和项:支出</t>
  </si>
  <si>
    <t>餐费</t>
  </si>
  <si>
    <t>交通</t>
  </si>
  <si>
    <t>外务</t>
  </si>
  <si>
    <t>(空白)</t>
  </si>
  <si>
    <t>总支出</t>
    <phoneticPr fontId="2" type="noConversion"/>
  </si>
  <si>
    <t>4.5+9+12</t>
    <phoneticPr fontId="2" type="noConversion"/>
  </si>
  <si>
    <t>C语言书</t>
    <phoneticPr fontId="2" type="noConversion"/>
  </si>
  <si>
    <t>3+9+12</t>
    <phoneticPr fontId="2" type="noConversion"/>
  </si>
  <si>
    <t>体育</t>
    <phoneticPr fontId="2" type="noConversion"/>
  </si>
  <si>
    <t>钉鞋</t>
    <phoneticPr fontId="2" type="noConversion"/>
  </si>
  <si>
    <t>2.5+7+12</t>
    <phoneticPr fontId="2" type="noConversion"/>
  </si>
  <si>
    <t>原画</t>
    <phoneticPr fontId="2" type="noConversion"/>
  </si>
  <si>
    <t>八月银行卡总量15000 学费8988</t>
  </si>
  <si>
    <t>三个月平均</t>
    <phoneticPr fontId="2" type="noConversion"/>
  </si>
  <si>
    <t>每月饮食3+9+12=24 24*30=720 单车10元 诚学信付375.02 水费9*2.25=20.25</t>
    <phoneticPr fontId="2" type="noConversion"/>
  </si>
  <si>
    <t>第一个月开销巨大</t>
    <phoneticPr fontId="2" type="noConversion"/>
  </si>
  <si>
    <t>第一月超标</t>
    <phoneticPr fontId="2" type="noConversion"/>
  </si>
  <si>
    <t>平均与最低标准线在1200差</t>
    <phoneticPr fontId="2" type="noConversion"/>
  </si>
  <si>
    <t>上月总收入</t>
    <phoneticPr fontId="2" type="noConversion"/>
  </si>
  <si>
    <t>第一月抵消剩余</t>
    <phoneticPr fontId="2" type="noConversion"/>
  </si>
  <si>
    <t>4.5+12+12</t>
    <phoneticPr fontId="2" type="noConversion"/>
  </si>
  <si>
    <t>3+12+12</t>
    <phoneticPr fontId="2" type="noConversion"/>
  </si>
  <si>
    <t>丰巢超时</t>
    <phoneticPr fontId="2" type="noConversion"/>
  </si>
  <si>
    <t>列1</t>
    <phoneticPr fontId="2" type="noConversion"/>
  </si>
  <si>
    <t>列2</t>
    <phoneticPr fontId="2" type="noConversion"/>
  </si>
  <si>
    <t>部门团聚</t>
    <phoneticPr fontId="2" type="noConversion"/>
  </si>
  <si>
    <t>广告红包</t>
    <phoneticPr fontId="2" type="noConversion"/>
  </si>
  <si>
    <t>3+10+12</t>
    <phoneticPr fontId="2" type="noConversion"/>
  </si>
  <si>
    <t>超时两小时</t>
    <phoneticPr fontId="2" type="noConversion"/>
  </si>
  <si>
    <t>扣罚</t>
    <phoneticPr fontId="2" type="noConversion"/>
  </si>
  <si>
    <t>MA BA</t>
    <phoneticPr fontId="2" type="noConversion"/>
  </si>
  <si>
    <t>陈权买润滑剂</t>
    <phoneticPr fontId="2" type="noConversion"/>
  </si>
  <si>
    <t>打印实验室表</t>
    <phoneticPr fontId="2" type="noConversion"/>
  </si>
  <si>
    <t>3.5+12+10</t>
    <phoneticPr fontId="2" type="noConversion"/>
  </si>
  <si>
    <t>4.5+12</t>
    <phoneticPr fontId="2" type="noConversion"/>
  </si>
  <si>
    <t>蜜雪冰城4瓶十六元 大排档190 高中宿舍共五人</t>
    <phoneticPr fontId="2" type="noConversion"/>
  </si>
  <si>
    <t>5+12+12</t>
    <phoneticPr fontId="2" type="noConversion"/>
  </si>
  <si>
    <t>9+10</t>
    <phoneticPr fontId="2" type="noConversion"/>
  </si>
  <si>
    <t>4.5+10+12</t>
    <phoneticPr fontId="2" type="noConversion"/>
  </si>
  <si>
    <t>3+12+10</t>
    <phoneticPr fontId="2" type="noConversion"/>
  </si>
  <si>
    <t>公交1+1+地铁7</t>
    <phoneticPr fontId="2" type="noConversion"/>
  </si>
  <si>
    <t>合资打车18.7+1公交</t>
    <phoneticPr fontId="2" type="noConversion"/>
  </si>
  <si>
    <t>行标签</t>
  </si>
  <si>
    <t>总计</t>
  </si>
  <si>
    <t>电话办卡投资</t>
  </si>
  <si>
    <t>考试</t>
  </si>
  <si>
    <t>扣罚</t>
  </si>
  <si>
    <t>内务</t>
  </si>
  <si>
    <t>其他</t>
  </si>
  <si>
    <t>社交</t>
  </si>
  <si>
    <t>体育</t>
  </si>
  <si>
    <t>学习教材</t>
  </si>
  <si>
    <t>饮水</t>
  </si>
  <si>
    <t>原画</t>
  </si>
  <si>
    <t>支出财报总览</t>
    <phoneticPr fontId="2" type="noConversion"/>
  </si>
  <si>
    <t>九月</t>
    <phoneticPr fontId="2" type="noConversion"/>
  </si>
  <si>
    <t>十月</t>
    <phoneticPr fontId="2" type="noConversion"/>
  </si>
  <si>
    <t>10月收入</t>
    <phoneticPr fontId="2" type="noConversion"/>
  </si>
  <si>
    <t>11月</t>
    <phoneticPr fontId="2" type="noConversion"/>
  </si>
  <si>
    <t>6+7+12</t>
    <phoneticPr fontId="2" type="noConversion"/>
  </si>
  <si>
    <t>哈喽单车</t>
    <phoneticPr fontId="2" type="noConversion"/>
  </si>
  <si>
    <t>特殊 塔斯汀</t>
    <phoneticPr fontId="2" type="noConversion"/>
  </si>
  <si>
    <t>11.9+12</t>
    <phoneticPr fontId="2" type="noConversion"/>
  </si>
  <si>
    <t>5+9+12</t>
    <phoneticPr fontId="2" type="noConversion"/>
  </si>
  <si>
    <t>其他饮食</t>
    <phoneticPr fontId="2" type="noConversion"/>
  </si>
  <si>
    <t>14.9奶茶和包子</t>
    <phoneticPr fontId="2" type="noConversion"/>
  </si>
  <si>
    <t>3+10+10</t>
    <phoneticPr fontId="2" type="noConversion"/>
  </si>
  <si>
    <t>7+9+12</t>
    <phoneticPr fontId="2" type="noConversion"/>
  </si>
  <si>
    <t>5+10</t>
    <phoneticPr fontId="2" type="noConversion"/>
  </si>
  <si>
    <t>5+10+12 华莱士</t>
    <phoneticPr fontId="2" type="noConversion"/>
  </si>
  <si>
    <t>衣架四人合资</t>
    <phoneticPr fontId="2" type="noConversion"/>
  </si>
  <si>
    <t>话费</t>
    <phoneticPr fontId="2" type="noConversion"/>
  </si>
  <si>
    <t>中国移动</t>
    <phoneticPr fontId="2" type="noConversion"/>
  </si>
  <si>
    <t>103.50+1.13</t>
    <phoneticPr fontId="2" type="noConversion"/>
  </si>
  <si>
    <t>校庆饭票</t>
    <phoneticPr fontId="2" type="noConversion"/>
  </si>
  <si>
    <t>耳机</t>
    <phoneticPr fontId="2" type="noConversion"/>
  </si>
  <si>
    <t>指甲</t>
    <phoneticPr fontId="2" type="noConversion"/>
  </si>
  <si>
    <t>5+2+2+5</t>
    <phoneticPr fontId="2" type="noConversion"/>
  </si>
  <si>
    <t>沐浴</t>
    <phoneticPr fontId="2" type="noConversion"/>
  </si>
  <si>
    <t>5+10+12</t>
    <phoneticPr fontId="2" type="noConversion"/>
  </si>
  <si>
    <t>1.7打印</t>
    <phoneticPr fontId="2" type="noConversion"/>
  </si>
  <si>
    <t>理发</t>
    <phoneticPr fontId="2" type="noConversion"/>
  </si>
  <si>
    <t>5+9+10</t>
    <phoneticPr fontId="2" type="noConversion"/>
  </si>
  <si>
    <t>4+9+12</t>
    <phoneticPr fontId="2" type="noConversion"/>
  </si>
  <si>
    <t>5.5+9+14.8</t>
    <phoneticPr fontId="2" type="noConversion"/>
  </si>
  <si>
    <t>8+4</t>
    <phoneticPr fontId="2" type="noConversion"/>
  </si>
  <si>
    <t>8+2</t>
    <phoneticPr fontId="2" type="noConversion"/>
  </si>
  <si>
    <t>3+7+10</t>
    <phoneticPr fontId="2" type="noConversion"/>
  </si>
  <si>
    <t>礼物置身事外书 翁君</t>
    <phoneticPr fontId="2" type="noConversion"/>
  </si>
  <si>
    <t>周五肇庆来回车票19.8+19.8</t>
    <phoneticPr fontId="2" type="noConversion"/>
  </si>
  <si>
    <t>截至至11/22总支出</t>
    <phoneticPr fontId="2" type="noConversion"/>
  </si>
  <si>
    <t>截至至11/22卡内</t>
    <phoneticPr fontId="2" type="noConversion"/>
  </si>
  <si>
    <t>截至至11/22卡总支出</t>
    <phoneticPr fontId="2" type="noConversion"/>
  </si>
  <si>
    <t>原计划三个月</t>
    <phoneticPr fontId="2" type="noConversion"/>
  </si>
  <si>
    <t>3+6.8+14</t>
    <phoneticPr fontId="2" type="noConversion"/>
  </si>
  <si>
    <t>矿泉水3+3.5</t>
    <phoneticPr fontId="2" type="noConversion"/>
  </si>
  <si>
    <t>3+3</t>
    <phoneticPr fontId="2" type="noConversion"/>
  </si>
  <si>
    <t>3+11+12</t>
    <phoneticPr fontId="2" type="noConversion"/>
  </si>
  <si>
    <t>翁 总体支出</t>
    <phoneticPr fontId="2" type="noConversion"/>
  </si>
  <si>
    <t>庞伟聪 17.40+15.9</t>
    <phoneticPr fontId="2" type="noConversion"/>
  </si>
  <si>
    <t>5+12+13.9</t>
    <phoneticPr fontId="2" type="noConversion"/>
  </si>
  <si>
    <t>3+10+13</t>
    <phoneticPr fontId="2" type="noConversion"/>
  </si>
  <si>
    <t>3+17.90塔斯汀+10</t>
    <phoneticPr fontId="2" type="noConversion"/>
  </si>
  <si>
    <t>3+14+12</t>
    <phoneticPr fontId="2" type="noConversion"/>
  </si>
  <si>
    <t>化学解题解析</t>
    <phoneticPr fontId="2" type="noConversion"/>
  </si>
  <si>
    <t>5+10+15</t>
    <phoneticPr fontId="2" type="noConversion"/>
  </si>
  <si>
    <t>康复物理因子治疗</t>
    <phoneticPr fontId="2" type="noConversion"/>
  </si>
  <si>
    <t>12月</t>
    <phoneticPr fontId="2" type="noConversion"/>
  </si>
  <si>
    <t>话费</t>
  </si>
  <si>
    <t>沐浴</t>
  </si>
  <si>
    <t>其他饮食</t>
  </si>
  <si>
    <t>餐费建议</t>
    <phoneticPr fontId="2" type="noConversion"/>
  </si>
  <si>
    <t>12月沉淀工作</t>
    <phoneticPr fontId="2" type="noConversion"/>
  </si>
  <si>
    <t>卢文克作品集 风云录</t>
    <phoneticPr fontId="2" type="noConversion"/>
  </si>
  <si>
    <t>置身事内</t>
    <phoneticPr fontId="2" type="noConversion"/>
  </si>
  <si>
    <t>6+10</t>
    <phoneticPr fontId="2" type="noConversion"/>
  </si>
  <si>
    <t>2+8</t>
    <phoneticPr fontId="2" type="noConversion"/>
  </si>
  <si>
    <t>10+12</t>
    <phoneticPr fontId="2" type="noConversion"/>
  </si>
  <si>
    <t>5+12+15</t>
    <phoneticPr fontId="2" type="noConversion"/>
  </si>
  <si>
    <t>电精灵</t>
    <phoneticPr fontId="2" type="noConversion"/>
  </si>
  <si>
    <t>交通 去往中大深圳校区</t>
    <phoneticPr fontId="2" type="noConversion"/>
  </si>
  <si>
    <t>原耳机丢失</t>
    <phoneticPr fontId="2" type="noConversion"/>
  </si>
  <si>
    <t>已核验</t>
    <phoneticPr fontId="2" type="noConversion"/>
  </si>
  <si>
    <t>5+11.5</t>
    <phoneticPr fontId="2" type="noConversion"/>
  </si>
  <si>
    <t>中大深圳特别拨款</t>
    <phoneticPr fontId="2" type="noConversion"/>
  </si>
  <si>
    <t>回广州61 哈喽电动2.5+1+1.3+1.5+3+3+1.5+1.5+2.8+3+1.5+3</t>
    <phoneticPr fontId="2" type="noConversion"/>
  </si>
  <si>
    <t>草稿纸10本*2</t>
    <phoneticPr fontId="2" type="noConversion"/>
  </si>
  <si>
    <t>地铁2</t>
    <phoneticPr fontId="2" type="noConversion"/>
  </si>
  <si>
    <t>截至12/11总支出</t>
    <phoneticPr fontId="2" type="noConversion"/>
  </si>
  <si>
    <t>中大特别拨款项目 第一次 (包吃包住）</t>
    <phoneticPr fontId="2" type="noConversion"/>
  </si>
  <si>
    <t xml:space="preserve">本月财政估算 </t>
    <phoneticPr fontId="2" type="noConversion"/>
  </si>
  <si>
    <t>社交补足金已达83+98</t>
    <phoneticPr fontId="2" type="noConversion"/>
  </si>
  <si>
    <t>晚餐 15 矿泉水2   早餐9 社交礼品113.40 6个商品</t>
    <phoneticPr fontId="2" type="noConversion"/>
  </si>
  <si>
    <t>打印</t>
    <phoneticPr fontId="2" type="noConversion"/>
  </si>
  <si>
    <t>橡皮</t>
    <phoneticPr fontId="2" type="noConversion"/>
  </si>
  <si>
    <t>交通 来回中大深圳校区</t>
    <phoneticPr fontId="2" type="noConversion"/>
  </si>
  <si>
    <t>晚餐饼 9 +夜宵13</t>
    <phoneticPr fontId="2" type="noConversion"/>
  </si>
  <si>
    <t xml:space="preserve"> 诚学信付</t>
    <phoneticPr fontId="2" type="noConversion"/>
  </si>
  <si>
    <t>5+12</t>
    <phoneticPr fontId="2" type="noConversion"/>
  </si>
  <si>
    <t>夜宵27 5+12+12</t>
    <phoneticPr fontId="2" type="noConversion"/>
  </si>
  <si>
    <t>核验列</t>
    <phoneticPr fontId="2" type="noConversion"/>
  </si>
  <si>
    <t>截至12/18总支出</t>
    <phoneticPr fontId="2" type="noConversion"/>
  </si>
  <si>
    <t>11.5+5</t>
    <phoneticPr fontId="2" type="noConversion"/>
  </si>
  <si>
    <t>14+12</t>
    <phoneticPr fontId="2" type="noConversion"/>
  </si>
  <si>
    <t>3+12</t>
    <phoneticPr fontId="2" type="noConversion"/>
  </si>
  <si>
    <t>3+13</t>
    <phoneticPr fontId="2" type="noConversion"/>
  </si>
  <si>
    <t>地铁8</t>
    <phoneticPr fontId="2" type="noConversion"/>
  </si>
  <si>
    <t>1+7地铁</t>
    <phoneticPr fontId="2" type="noConversion"/>
  </si>
  <si>
    <t>7+2</t>
    <phoneticPr fontId="2" type="noConversion"/>
  </si>
  <si>
    <t>下年东阁本</t>
    <phoneticPr fontId="2" type="noConversion"/>
  </si>
  <si>
    <t>奶茶 打印准考证</t>
    <phoneticPr fontId="2" type="noConversion"/>
  </si>
  <si>
    <t>木桶饭</t>
    <phoneticPr fontId="2" type="noConversion"/>
  </si>
  <si>
    <t>医疗</t>
    <phoneticPr fontId="2" type="noConversion"/>
  </si>
  <si>
    <t>12月沉淀工作</t>
  </si>
  <si>
    <t>耳机</t>
  </si>
  <si>
    <t>中大深圳特别拨款</t>
  </si>
  <si>
    <t>月份</t>
    <phoneticPr fontId="2" type="noConversion"/>
  </si>
  <si>
    <t>金额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</si>
</sst>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[$¥-804]* #,##0.00_ ;_ [$¥-804]* \-#,##0.00_ ;_ [$¥-804]* &quot;-&quot;??_ ;_ @_ 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5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48"/>
      <color theme="1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b/>
      <sz val="7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6"/>
      <color theme="5"/>
      <name val="等线"/>
      <family val="3"/>
      <charset val="134"/>
      <scheme val="minor"/>
    </font>
    <font>
      <sz val="7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58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58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58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58" fontId="0" fillId="4" borderId="6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176" fontId="3" fillId="5" borderId="2" xfId="0" applyNumberFormat="1" applyFont="1" applyFill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left" vertical="center"/>
    </xf>
    <xf numFmtId="176" fontId="1" fillId="4" borderId="2" xfId="0" applyNumberFormat="1" applyFont="1" applyFill="1" applyBorder="1">
      <alignment vertical="center"/>
    </xf>
    <xf numFmtId="176" fontId="1" fillId="5" borderId="7" xfId="0" applyNumberFormat="1" applyFont="1" applyFill="1" applyBorder="1" applyAlignment="1">
      <alignment horizontal="center" vertical="center"/>
    </xf>
    <xf numFmtId="176" fontId="0" fillId="4" borderId="7" xfId="0" applyNumberFormat="1" applyFill="1" applyBorder="1" applyAlignment="1">
      <alignment horizontal="center" vertical="center"/>
    </xf>
    <xf numFmtId="176" fontId="1" fillId="4" borderId="7" xfId="0" applyNumberFormat="1" applyFont="1" applyFill="1" applyBorder="1" applyAlignment="1">
      <alignment horizontal="center" vertical="center"/>
    </xf>
    <xf numFmtId="176" fontId="0" fillId="4" borderId="10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76" fontId="0" fillId="5" borderId="2" xfId="0" applyNumberFormat="1" applyFill="1" applyBorder="1" applyAlignment="1">
      <alignment horizontal="center" vertical="center"/>
    </xf>
    <xf numFmtId="176" fontId="0" fillId="5" borderId="7" xfId="0" applyNumberForma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58" fontId="4" fillId="4" borderId="6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6" fontId="4" fillId="4" borderId="2" xfId="0" applyNumberFormat="1" applyFont="1" applyFill="1" applyBorder="1" applyAlignment="1">
      <alignment horizontal="center" vertical="center"/>
    </xf>
    <xf numFmtId="176" fontId="4" fillId="4" borderId="7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176" fontId="4" fillId="5" borderId="2" xfId="0" applyNumberFormat="1" applyFont="1" applyFill="1" applyBorder="1" applyAlignment="1">
      <alignment horizontal="center"/>
    </xf>
    <xf numFmtId="58" fontId="0" fillId="4" borderId="8" xfId="0" applyNumberFormat="1" applyFill="1" applyBorder="1" applyAlignment="1">
      <alignment horizontal="center" vertical="center"/>
    </xf>
    <xf numFmtId="176" fontId="0" fillId="4" borderId="9" xfId="0" applyNumberFormat="1" applyFill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8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76" fontId="1" fillId="3" borderId="7" xfId="0" applyNumberFormat="1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>
      <alignment vertical="center"/>
    </xf>
    <xf numFmtId="0" fontId="0" fillId="0" borderId="2" xfId="0" pivotButton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1" xfId="0" applyNumberFormat="1" applyBorder="1">
      <alignment vertical="center"/>
    </xf>
    <xf numFmtId="0" fontId="3" fillId="4" borderId="2" xfId="0" applyFont="1" applyFill="1" applyBorder="1" applyAlignment="1">
      <alignment horizontal="center" vertical="center"/>
    </xf>
    <xf numFmtId="176" fontId="4" fillId="4" borderId="9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58" fontId="0" fillId="4" borderId="2" xfId="0" applyNumberFormat="1" applyFill="1" applyBorder="1" applyAlignment="1">
      <alignment horizontal="center" vertical="center"/>
    </xf>
    <xf numFmtId="0" fontId="0" fillId="4" borderId="0" xfId="0" applyFill="1">
      <alignment vertical="center"/>
    </xf>
    <xf numFmtId="0" fontId="4" fillId="4" borderId="2" xfId="0" applyFont="1" applyFill="1" applyBorder="1" applyAlignment="1">
      <alignment horizontal="center"/>
    </xf>
    <xf numFmtId="176" fontId="4" fillId="4" borderId="2" xfId="0" applyNumberFormat="1" applyFont="1" applyFill="1" applyBorder="1" applyAlignment="1">
      <alignment horizontal="center"/>
    </xf>
    <xf numFmtId="176" fontId="11" fillId="5" borderId="2" xfId="0" applyNumberFormat="1" applyFont="1" applyFill="1" applyBorder="1" applyAlignment="1">
      <alignment horizontal="center" vertical="center"/>
    </xf>
    <xf numFmtId="176" fontId="4" fillId="5" borderId="7" xfId="0" applyNumberFormat="1" applyFont="1" applyFill="1" applyBorder="1" applyAlignment="1">
      <alignment horizontal="center"/>
    </xf>
    <xf numFmtId="176" fontId="4" fillId="4" borderId="7" xfId="0" applyNumberFormat="1" applyFont="1" applyFill="1" applyBorder="1" applyAlignment="1">
      <alignment horizontal="center"/>
    </xf>
    <xf numFmtId="176" fontId="4" fillId="4" borderId="10" xfId="0" applyNumberFormat="1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>
      <alignment vertical="center"/>
    </xf>
    <xf numFmtId="176" fontId="3" fillId="4" borderId="2" xfId="0" applyNumberFormat="1" applyFont="1" applyFill="1" applyBorder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center"/>
    </xf>
    <xf numFmtId="176" fontId="0" fillId="4" borderId="7" xfId="0" applyNumberFormat="1" applyFill="1" applyBorder="1">
      <alignment vertical="center"/>
    </xf>
    <xf numFmtId="176" fontId="0" fillId="0" borderId="0" xfId="0" applyNumberFormat="1">
      <alignment vertical="center"/>
    </xf>
    <xf numFmtId="176" fontId="0" fillId="4" borderId="2" xfId="0" applyNumberFormat="1" applyFill="1" applyBorder="1">
      <alignment vertical="center"/>
    </xf>
    <xf numFmtId="0" fontId="12" fillId="4" borderId="5" xfId="0" applyFont="1" applyFill="1" applyBorder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76" fontId="4" fillId="5" borderId="2" xfId="0" applyNumberFormat="1" applyFont="1" applyFill="1" applyBorder="1" applyAlignment="1">
      <alignment horizontal="center" vertical="center"/>
    </xf>
    <xf numFmtId="176" fontId="4" fillId="5" borderId="7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58" fontId="0" fillId="4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0" fontId="4" fillId="4" borderId="5" xfId="0" applyFont="1" applyFill="1" applyBorder="1" applyAlignment="1">
      <alignment horizontal="center" vertical="center"/>
    </xf>
    <xf numFmtId="176" fontId="4" fillId="4" borderId="5" xfId="0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16" xfId="0" pivotButton="1" applyBorder="1">
      <alignment vertical="center"/>
    </xf>
    <xf numFmtId="0" fontId="0" fillId="0" borderId="16" xfId="0" applyBorder="1">
      <alignment vertical="center"/>
    </xf>
    <xf numFmtId="0" fontId="0" fillId="0" borderId="16" xfId="0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1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6" formatCode="_ [$¥-804]* #,##0.00_ ;_ [$¥-804]* \-#,##0.00_ ;_ [$¥-804]* &quot;-&quot;??_ ;_ @_ 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176" formatCode="_ [$¥-804]* #,##0.00_ ;_ [$¥-804]* \-#,##0.00_ ;_ [$¥-804]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176" formatCode="_ [$¥-804]* #,##0.00_ ;_ [$¥-804]* \-#,##0.00_ ;_ [$¥-804]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176" formatCode="_ [$¥-804]* #,##0.00_ ;_ [$¥-804]* \-#,##0.00_ ;_ [$¥-804]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176" formatCode="_ [$¥-804]* #,##0.00_ ;_ [$¥-804]* \-#,##0.00_ ;_ [$¥-804]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176" formatCode="_ [$¥-804]* #,##0.00_ ;_ [$¥-804]* \-#,##0.00_ ;_ [$¥-804]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numFmt numFmtId="176" formatCode="_ [$¥-804]* #,##0.00_ ;_ [$¥-804]* \-#,##0.00_ ;_ [$¥-804]* &quot;-&quot;??_ ;_ @_ 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176" formatCode="_ [$¥-804]* #,##0.00_ ;_ [$¥-804]* \-#,##0.00_ ;_ [$¥-804]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numFmt numFmtId="176" formatCode="_ [$¥-804]* #,##0.00_ ;_ [$¥-804]* \-#,##0.00_ ;_ [$¥-804]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等线"/>
        <family val="3"/>
        <charset val="134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6" formatCode="_ [$¥-804]* #,##0.00_ ;_ [$¥-804]* \-#,##0.00_ ;_ [$¥-804]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numFmt numFmtId="176" formatCode="_ [$¥-804]* #,##0.00_ ;_ [$¥-804]* \-#,##0.00_ ;_ [$¥-804]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6" formatCode="_ [$¥-804]* #,##0.00_ ;_ [$¥-804]* \-#,##0.00_ ;_ [$¥-804]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6" formatCode="_ [$¥-804]* #,##0.00_ ;_ [$¥-804]* \-#,##0.00_ ;_ [$¥-804]* &quot;-&quot;??_ ;_ @_ 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[2023综合财报管理处.xlsx]支出!数据透视表2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支出!$I$197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5F-4E02-9217-80DC8A2275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5F-4E02-9217-80DC8A2275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B5F-4E02-9217-80DC8A2275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B5F-4E02-9217-80DC8A2275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B5F-4E02-9217-80DC8A2275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B5F-4E02-9217-80DC8A22758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B5F-4E02-9217-80DC8A22758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B5F-4E02-9217-80DC8A22758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B5F-4E02-9217-80DC8A22758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B5F-4E02-9217-80DC8A22758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B5F-4E02-9217-80DC8A22758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B5F-4E02-9217-80DC8A2275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支出!$H$198:$H$210</c:f>
              <c:strCache>
                <c:ptCount val="12"/>
                <c:pt idx="0">
                  <c:v>餐费</c:v>
                </c:pt>
                <c:pt idx="1">
                  <c:v>话费</c:v>
                </c:pt>
                <c:pt idx="2">
                  <c:v>交通</c:v>
                </c:pt>
                <c:pt idx="3">
                  <c:v>扣罚</c:v>
                </c:pt>
                <c:pt idx="4">
                  <c:v>沐浴</c:v>
                </c:pt>
                <c:pt idx="5">
                  <c:v>其他饮食</c:v>
                </c:pt>
                <c:pt idx="6">
                  <c:v>社交</c:v>
                </c:pt>
                <c:pt idx="7">
                  <c:v>生活</c:v>
                </c:pt>
                <c:pt idx="8">
                  <c:v>学习</c:v>
                </c:pt>
                <c:pt idx="9">
                  <c:v>饮水</c:v>
                </c:pt>
                <c:pt idx="10">
                  <c:v>原画</c:v>
                </c:pt>
                <c:pt idx="11">
                  <c:v>(空白)</c:v>
                </c:pt>
              </c:strCache>
            </c:strRef>
          </c:cat>
          <c:val>
            <c:numRef>
              <c:f>支出!$I$198:$I$210</c:f>
              <c:numCache>
                <c:formatCode>General</c:formatCode>
                <c:ptCount val="12"/>
                <c:pt idx="0">
                  <c:v>716.3</c:v>
                </c:pt>
                <c:pt idx="1">
                  <c:v>20</c:v>
                </c:pt>
                <c:pt idx="2">
                  <c:v>91.5</c:v>
                </c:pt>
                <c:pt idx="3">
                  <c:v>8</c:v>
                </c:pt>
                <c:pt idx="4">
                  <c:v>0.04</c:v>
                </c:pt>
                <c:pt idx="5">
                  <c:v>14.9</c:v>
                </c:pt>
                <c:pt idx="6">
                  <c:v>182.93</c:v>
                </c:pt>
                <c:pt idx="7">
                  <c:v>31.7</c:v>
                </c:pt>
                <c:pt idx="8">
                  <c:v>77</c:v>
                </c:pt>
                <c:pt idx="9">
                  <c:v>18</c:v>
                </c:pt>
                <c:pt idx="10">
                  <c:v>372.07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1-4148-A543-6670D7C6C2E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0685336516751"/>
          <c:y val="0.31564578594521314"/>
          <c:w val="0.14826794504886764"/>
          <c:h val="0.65705062183440055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[2023综合财报管理处.xlsx]支出!数据透视表29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支出!$I$4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B5-4E3B-8839-B1202B5A96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B5-4E3B-8839-B1202B5A96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B5-4E3B-8839-B1202B5A96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B5-4E3B-8839-B1202B5A96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B5-4E3B-8839-B1202B5A96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5B5-4E3B-8839-B1202B5A96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5B5-4E3B-8839-B1202B5A96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支出!$H$5:$H$11</c:f>
              <c:strCache>
                <c:ptCount val="7"/>
                <c:pt idx="0">
                  <c:v>餐费</c:v>
                </c:pt>
                <c:pt idx="1">
                  <c:v>交通</c:v>
                </c:pt>
                <c:pt idx="2">
                  <c:v>生活</c:v>
                </c:pt>
                <c:pt idx="3">
                  <c:v>投资</c:v>
                </c:pt>
                <c:pt idx="4">
                  <c:v>外务</c:v>
                </c:pt>
                <c:pt idx="5">
                  <c:v>学习</c:v>
                </c:pt>
                <c:pt idx="6">
                  <c:v>(空白)</c:v>
                </c:pt>
              </c:strCache>
            </c:strRef>
          </c:cat>
          <c:val>
            <c:numRef>
              <c:f>支出!$I$5:$I$11</c:f>
              <c:numCache>
                <c:formatCode>General</c:formatCode>
                <c:ptCount val="7"/>
                <c:pt idx="0">
                  <c:v>664</c:v>
                </c:pt>
                <c:pt idx="1">
                  <c:v>42.07</c:v>
                </c:pt>
                <c:pt idx="2">
                  <c:v>1008.12</c:v>
                </c:pt>
                <c:pt idx="3">
                  <c:v>520.79</c:v>
                </c:pt>
                <c:pt idx="4">
                  <c:v>32.54</c:v>
                </c:pt>
                <c:pt idx="5">
                  <c:v>531.21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7-4CBE-8B05-05F8144368E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980555225483625"/>
          <c:y val="0.32078026749796729"/>
          <c:w val="0.1135194326293282"/>
          <c:h val="0.66580613320930104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[2023综合财报管理处.xlsx]支出!数据透视表25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支出!$I$142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0E-44B2-94B9-453397BC20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0E-44B2-94B9-453397BC20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0E-44B2-94B9-453397BC20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40E-44B2-94B9-453397BC20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40E-44B2-94B9-453397BC20A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40E-44B2-94B9-453397BC20A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40E-44B2-94B9-453397BC20A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40E-44B2-94B9-453397BC20A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40E-44B2-94B9-453397BC20A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40E-44B2-94B9-453397BC20A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40E-44B2-94B9-453397BC20A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40E-44B2-94B9-453397BC20A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40E-44B2-94B9-453397BC20A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40E-44B2-94B9-453397BC20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支出!$H$143:$H$157</c:f>
              <c:strCache>
                <c:ptCount val="14"/>
                <c:pt idx="0">
                  <c:v>餐费</c:v>
                </c:pt>
                <c:pt idx="1">
                  <c:v>电话办卡投资</c:v>
                </c:pt>
                <c:pt idx="2">
                  <c:v>交通</c:v>
                </c:pt>
                <c:pt idx="3">
                  <c:v>考试</c:v>
                </c:pt>
                <c:pt idx="4">
                  <c:v>扣罚</c:v>
                </c:pt>
                <c:pt idx="5">
                  <c:v>内务</c:v>
                </c:pt>
                <c:pt idx="6">
                  <c:v>其他</c:v>
                </c:pt>
                <c:pt idx="7">
                  <c:v>社交</c:v>
                </c:pt>
                <c:pt idx="8">
                  <c:v>生活</c:v>
                </c:pt>
                <c:pt idx="9">
                  <c:v>体育</c:v>
                </c:pt>
                <c:pt idx="10">
                  <c:v>学习教材</c:v>
                </c:pt>
                <c:pt idx="11">
                  <c:v>饮水</c:v>
                </c:pt>
                <c:pt idx="12">
                  <c:v>原画</c:v>
                </c:pt>
                <c:pt idx="13">
                  <c:v>(空白)</c:v>
                </c:pt>
              </c:strCache>
            </c:strRef>
          </c:cat>
          <c:val>
            <c:numRef>
              <c:f>支出!$I$143:$I$157</c:f>
              <c:numCache>
                <c:formatCode>General</c:formatCode>
                <c:ptCount val="14"/>
                <c:pt idx="0">
                  <c:v>595</c:v>
                </c:pt>
                <c:pt idx="1">
                  <c:v>80</c:v>
                </c:pt>
                <c:pt idx="2">
                  <c:v>69.650000000000006</c:v>
                </c:pt>
                <c:pt idx="3">
                  <c:v>58</c:v>
                </c:pt>
                <c:pt idx="4">
                  <c:v>9.5</c:v>
                </c:pt>
                <c:pt idx="5">
                  <c:v>40.799999999999997</c:v>
                </c:pt>
                <c:pt idx="6">
                  <c:v>7.36</c:v>
                </c:pt>
                <c:pt idx="7">
                  <c:v>302.11</c:v>
                </c:pt>
                <c:pt idx="8">
                  <c:v>96.75</c:v>
                </c:pt>
                <c:pt idx="9">
                  <c:v>38</c:v>
                </c:pt>
                <c:pt idx="10">
                  <c:v>84</c:v>
                </c:pt>
                <c:pt idx="11">
                  <c:v>18</c:v>
                </c:pt>
                <c:pt idx="12">
                  <c:v>372.07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D-43C0-BCF6-18B1505498A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92972531523331"/>
          <c:y val="0.32078038139244563"/>
          <c:w val="0.19839525956893117"/>
          <c:h val="0.66580636960676653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[2023综合财报管理处.xlsx]支出!数据透视表3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支出!$I$278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E95-4EA7-9064-B150D57021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E95-4EA7-9064-B150D57021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E95-4EA7-9064-B150D57021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E95-4EA7-9064-B150D57021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E95-4EA7-9064-B150D57021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E95-4EA7-9064-B150D57021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E95-4EA7-9064-B150D57021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E95-4EA7-9064-B150D570213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E95-4EA7-9064-B150D570213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E95-4EA7-9064-B150D570213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E95-4EA7-9064-B150D57021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支出!$H$279:$H$290</c:f>
              <c:strCache>
                <c:ptCount val="11"/>
                <c:pt idx="0">
                  <c:v>12月沉淀工作</c:v>
                </c:pt>
                <c:pt idx="1">
                  <c:v>餐费</c:v>
                </c:pt>
                <c:pt idx="2">
                  <c:v>耳机</c:v>
                </c:pt>
                <c:pt idx="3">
                  <c:v>交通</c:v>
                </c:pt>
                <c:pt idx="4">
                  <c:v>内务</c:v>
                </c:pt>
                <c:pt idx="5">
                  <c:v>生活</c:v>
                </c:pt>
                <c:pt idx="6">
                  <c:v>学习</c:v>
                </c:pt>
                <c:pt idx="7">
                  <c:v>饮水</c:v>
                </c:pt>
                <c:pt idx="8">
                  <c:v>原画</c:v>
                </c:pt>
                <c:pt idx="9">
                  <c:v>中大深圳特别拨款</c:v>
                </c:pt>
                <c:pt idx="10">
                  <c:v>(空白)</c:v>
                </c:pt>
              </c:strCache>
            </c:strRef>
          </c:cat>
          <c:val>
            <c:numRef>
              <c:f>支出!$I$279:$I$290</c:f>
              <c:numCache>
                <c:formatCode>General</c:formatCode>
                <c:ptCount val="11"/>
                <c:pt idx="0">
                  <c:v>27.8</c:v>
                </c:pt>
                <c:pt idx="1">
                  <c:v>670</c:v>
                </c:pt>
                <c:pt idx="2">
                  <c:v>27.88</c:v>
                </c:pt>
                <c:pt idx="3">
                  <c:v>56.9</c:v>
                </c:pt>
                <c:pt idx="4">
                  <c:v>44.88</c:v>
                </c:pt>
                <c:pt idx="5">
                  <c:v>64.05</c:v>
                </c:pt>
                <c:pt idx="6">
                  <c:v>47.24</c:v>
                </c:pt>
                <c:pt idx="7">
                  <c:v>11.25</c:v>
                </c:pt>
                <c:pt idx="8">
                  <c:v>372.07</c:v>
                </c:pt>
                <c:pt idx="9">
                  <c:v>431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8-414B-BFE4-56D6AFD150D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支出!$K$6</c:f>
              <c:strCache>
                <c:ptCount val="1"/>
                <c:pt idx="0">
                  <c:v>金额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支出!$J$7:$J$10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numCache>
            </c:numRef>
          </c:cat>
          <c:val>
            <c:numRef>
              <c:f>支出!$K$7:$K$10</c:f>
              <c:numCache>
                <c:formatCode>General</c:formatCode>
                <c:ptCount val="4"/>
                <c:pt idx="0">
                  <c:v>2798.73</c:v>
                </c:pt>
                <c:pt idx="1">
                  <c:v>1771.24</c:v>
                </c:pt>
                <c:pt idx="2">
                  <c:v>1532.4399999999998</c:v>
                </c:pt>
                <c:pt idx="3">
                  <c:v>1753.07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8F-4CF2-871F-C07978DC5B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64877519"/>
        <c:axId val="1864877039"/>
      </c:lineChart>
      <c:catAx>
        <c:axId val="186487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4877039"/>
        <c:crosses val="autoZero"/>
        <c:auto val="1"/>
        <c:lblAlgn val="ctr"/>
        <c:lblOffset val="100"/>
        <c:noMultiLvlLbl val="0"/>
      </c:catAx>
      <c:valAx>
        <c:axId val="186487703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6487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58614</xdr:colOff>
      <xdr:row>210</xdr:row>
      <xdr:rowOff>89202</xdr:rowOff>
    </xdr:from>
    <xdr:to>
      <xdr:col>8</xdr:col>
      <xdr:colOff>2797702</xdr:colOff>
      <xdr:row>232</xdr:row>
      <xdr:rowOff>55527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8BD5FB2-3956-B0E6-70F4-48BA5F4D9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104407</xdr:colOff>
      <xdr:row>12</xdr:row>
      <xdr:rowOff>144154</xdr:rowOff>
    </xdr:from>
    <xdr:to>
      <xdr:col>8</xdr:col>
      <xdr:colOff>1965446</xdr:colOff>
      <xdr:row>28</xdr:row>
      <xdr:rowOff>103124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346944B-50FF-4AF1-1AF3-31637DA16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260104</xdr:colOff>
      <xdr:row>157</xdr:row>
      <xdr:rowOff>171632</xdr:rowOff>
    </xdr:from>
    <xdr:to>
      <xdr:col>8</xdr:col>
      <xdr:colOff>2121143</xdr:colOff>
      <xdr:row>173</xdr:row>
      <xdr:rowOff>130601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1102D96-B7DC-4471-D622-EEA20B12E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766327</xdr:colOff>
      <xdr:row>290</xdr:row>
      <xdr:rowOff>100442</xdr:rowOff>
    </xdr:from>
    <xdr:to>
      <xdr:col>9</xdr:col>
      <xdr:colOff>36078</xdr:colOff>
      <xdr:row>313</xdr:row>
      <xdr:rowOff>39219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F429163E-A606-633F-408E-A04EF01A8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484909</xdr:colOff>
      <xdr:row>12</xdr:row>
      <xdr:rowOff>64366</xdr:rowOff>
    </xdr:from>
    <xdr:to>
      <xdr:col>11</xdr:col>
      <xdr:colOff>2581853</xdr:colOff>
      <xdr:row>28</xdr:row>
      <xdr:rowOff>36657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F222FB4-4B4C-27F2-1F35-C4A69EC66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214.422905324071" createdVersion="8" refreshedVersion="8" minRefreshableVersion="3" recordCount="112" xr:uid="{C7FA47F4-57AD-4E73-911D-1D9A85131358}">
  <cacheSource type="worksheet">
    <worksheetSource name="表1"/>
  </cacheSource>
  <cacheFields count="6">
    <cacheField name="日期" numFmtId="0">
      <sharedItems containsDate="1" containsBlank="1" containsMixedTypes="1" minDate="2023-09-02T00:00:00" maxDate="2023-10-01T00:00:00"/>
    </cacheField>
    <cacheField name="星期" numFmtId="0">
      <sharedItems containsBlank="1"/>
    </cacheField>
    <cacheField name="日合计" numFmtId="176">
      <sharedItems containsString="0" containsBlank="1" containsNumber="1" minValue="0" maxValue="2798.7299999999996"/>
    </cacheField>
    <cacheField name="类型" numFmtId="0">
      <sharedItems containsBlank="1" count="7">
        <m/>
        <s v="交通"/>
        <s v="学习"/>
        <s v="生活"/>
        <s v="餐费"/>
        <s v="投资"/>
        <s v="外务"/>
      </sharedItems>
    </cacheField>
    <cacheField name="DETAIL" numFmtId="0">
      <sharedItems containsBlank="1"/>
    </cacheField>
    <cacheField name="支出" numFmtId="0">
      <sharedItems containsString="0" containsBlank="1" containsNumber="1" minValue="0" maxValue="372.07" count="63">
        <m/>
        <n v="4.8899999999999997"/>
        <n v="2.68"/>
        <n v="27.68"/>
        <n v="10.93"/>
        <n v="32"/>
        <n v="19.899999999999999"/>
        <n v="19.760000000000002"/>
        <n v="39"/>
        <n v="10"/>
        <n v="135"/>
        <n v="30"/>
        <n v="12"/>
        <n v="210"/>
        <n v="7"/>
        <n v="10.5"/>
        <n v="24.75"/>
        <n v="11.5"/>
        <n v="75.5"/>
        <n v="4"/>
        <n v="85"/>
        <n v="20"/>
        <n v="0"/>
        <n v="15"/>
        <n v="2.25"/>
        <n v="60"/>
        <n v="6.9"/>
        <n v="32.54"/>
        <n v="233"/>
        <n v="28"/>
        <n v="40"/>
        <n v="0.5"/>
        <n v="35"/>
        <n v="27"/>
        <n v="2"/>
        <n v="8"/>
        <n v="8.8000000000000007"/>
        <n v="8.81"/>
        <n v="129.30000000000001"/>
        <n v="6"/>
        <n v="5"/>
        <n v="5.61"/>
        <n v="26.88"/>
        <n v="28.5"/>
        <n v="44"/>
        <n v="23"/>
        <n v="13"/>
        <n v="6.5"/>
        <n v="9"/>
        <n v="0.01"/>
        <n v="3.5"/>
        <n v="11"/>
        <n v="21"/>
        <n v="24"/>
        <n v="25"/>
        <n v="372.07"/>
        <n v="20.8"/>
        <n v="36"/>
        <n v="22"/>
        <n v="2.7"/>
        <n v="26"/>
        <n v="16"/>
        <n v="23.7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229.733231597223" createdVersion="8" refreshedVersion="8" minRefreshableVersion="3" recordCount="66" xr:uid="{C6A4DA39-6ABB-415E-9406-A8D5740BB4CA}">
  <cacheSource type="worksheet">
    <worksheetSource ref="A118:F184" sheet="支出"/>
  </cacheSource>
  <cacheFields count="6">
    <cacheField name="日期" numFmtId="0">
      <sharedItems containsDate="1" containsBlank="1" containsMixedTypes="1" minDate="2023-10-01T00:00:00" maxDate="2023-11-01T00:00:00" count="33">
        <s v="10月"/>
        <d v="2023-10-01T00:00:00"/>
        <d v="2023-10-02T00:00:00"/>
        <d v="2023-10-03T00:00:00"/>
        <d v="2023-10-04T00:00:00"/>
        <d v="2023-10-05T00:00:00"/>
        <d v="2023-10-06T00:00:00"/>
        <m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</sharedItems>
    </cacheField>
    <cacheField name="星期" numFmtId="0">
      <sharedItems containsBlank="1" count="8">
        <m/>
        <s v="SU"/>
        <s v="MO"/>
        <s v="TU"/>
        <s v="WE"/>
        <s v="TH"/>
        <s v="FR"/>
        <s v="SA"/>
      </sharedItems>
    </cacheField>
    <cacheField name="日合计" numFmtId="176">
      <sharedItems containsString="0" containsBlank="1" containsNumber="1" minValue="0" maxValue="431.57"/>
    </cacheField>
    <cacheField name="类型" numFmtId="0">
      <sharedItems containsBlank="1" count="14">
        <m/>
        <s v="社交"/>
        <s v="生活"/>
        <s v="餐费"/>
        <s v="内务"/>
        <s v="交通"/>
        <s v="考试"/>
        <s v="学习教材"/>
        <s v="电话办卡投资"/>
        <s v="饮水"/>
        <s v="其他"/>
        <s v="体育"/>
        <s v="原画"/>
        <s v="扣罚"/>
      </sharedItems>
    </cacheField>
    <cacheField name="DETAIL" numFmtId="0">
      <sharedItems containsBlank="1" containsMixedTypes="1" containsNumber="1" containsInteger="1" minValue="9" maxValue="9" count="53">
        <m/>
        <s v="红包高中宿舍群10-5.26"/>
        <s v="话费卡一"/>
        <s v="生菜与胡萝卜"/>
        <s v="农夫山泉"/>
        <s v="晚餐"/>
        <s v="弟学习用书"/>
        <s v="公交1+地铁7"/>
        <s v="餐费3+7+9"/>
        <s v="哈喽出行"/>
        <s v="DD订水四人合资"/>
        <s v="餐费7+12+12"/>
        <s v="餐费4+12+12"/>
        <s v="CCT计算机二级报名"/>
        <s v="未来教育一套"/>
        <s v="餐费4+13+16"/>
        <s v="四级英语高顿"/>
        <s v="电话办卡投资"/>
        <s v="餐费6+9+12"/>
        <s v="刘泽滨慈善比赛 社交加慈善（慈善无任何收益除社交效果）"/>
        <s v="6+7"/>
        <s v="羊城通充值 (使用时计入)20"/>
        <s v="图书馆逾期支付 6"/>
        <s v="水杯"/>
        <s v="鲈鱼"/>
        <s v="公交1+地铁14"/>
        <s v="地铁"/>
        <s v="餐费15.50+14"/>
        <s v="正兴鸡排26双份"/>
        <s v="4.5+9+12"/>
        <s v="C语言书"/>
        <s v="3+9+12"/>
        <s v="钉鞋"/>
        <s v="2.5+7+12"/>
        <s v="诚学信付"/>
        <s v="4.5+12+12"/>
        <s v="3+12+10"/>
        <s v="丰巢超时"/>
        <s v="部门团聚"/>
        <s v="5+12+12"/>
        <s v="9+10"/>
        <s v="陈权买润滑剂"/>
        <s v="3+12+12"/>
        <s v="打印实验室表"/>
        <s v="4.5+10+12"/>
        <s v="超时两小时"/>
        <s v="3.5+12+10"/>
        <s v="4.5+12"/>
        <s v="蜜雪冰城4瓶十六元 大排档190 高中宿舍共五人"/>
        <s v="合资打车18.7+1公交"/>
        <n v="9"/>
        <s v="公交1+1+地铁7"/>
        <s v="3+10+12"/>
      </sharedItems>
    </cacheField>
    <cacheField name="支出" numFmtId="176">
      <sharedItems containsString="0" containsBlank="1" containsNumber="1" minValue="0" maxValue="372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262.391920138885" createdVersion="8" refreshedVersion="8" minRefreshableVersion="3" recordCount="62" xr:uid="{CE384340-95FF-4777-A4A1-65A6F4285509}">
  <cacheSource type="worksheet">
    <worksheetSource name="表7"/>
  </cacheSource>
  <cacheFields count="6">
    <cacheField name="日期" numFmtId="0">
      <sharedItems containsDate="1" containsBlank="1" containsMixedTypes="1" minDate="2023-11-01T00:00:00" maxDate="2023-12-01T00:00:00"/>
    </cacheField>
    <cacheField name="星期" numFmtId="0">
      <sharedItems containsBlank="1"/>
    </cacheField>
    <cacheField name="日合计" numFmtId="176">
      <sharedItems containsString="0" containsBlank="1" containsNumber="1" minValue="18" maxValue="372.07"/>
    </cacheField>
    <cacheField name="类型" numFmtId="0">
      <sharedItems containsBlank="1" count="12">
        <m/>
        <s v="餐费"/>
        <s v="饮水"/>
        <s v="交通"/>
        <s v="其他饮食"/>
        <s v="生活"/>
        <s v="话费"/>
        <s v="社交"/>
        <s v="学习"/>
        <s v="沐浴"/>
        <s v="原画"/>
        <s v="扣罚"/>
      </sharedItems>
    </cacheField>
    <cacheField name="DETAIL" numFmtId="0">
      <sharedItems containsBlank="1" containsMixedTypes="1" containsNumber="1" minValue="0.04" maxValue="8"/>
    </cacheField>
    <cacheField name="支出" numFmtId="176">
      <sharedItems containsString="0" containsBlank="1" containsNumber="1" minValue="0" maxValue="372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299.73251134259" createdVersion="8" refreshedVersion="8" minRefreshableVersion="3" recordCount="59" xr:uid="{EB3C519A-976A-4F60-95AF-F372A7551554}">
  <cacheSource type="worksheet">
    <worksheetSource name="表8"/>
  </cacheSource>
  <cacheFields count="7">
    <cacheField name="日期" numFmtId="0">
      <sharedItems containsDate="1" containsBlank="1" containsMixedTypes="1" minDate="2023-12-01T00:00:00" maxDate="2025-01-01T00:00:00"/>
    </cacheField>
    <cacheField name="星期" numFmtId="0">
      <sharedItems containsBlank="1"/>
    </cacheField>
    <cacheField name="日合计" numFmtId="176">
      <sharedItems containsString="0" containsBlank="1" containsNumber="1" minValue="0" maxValue="430.32"/>
    </cacheField>
    <cacheField name="类型" numFmtId="0">
      <sharedItems containsBlank="1" count="11">
        <m/>
        <s v="12月沉淀工作"/>
        <s v="餐费"/>
        <s v="交通"/>
        <s v="生活"/>
        <s v="中大深圳特别拨款"/>
        <s v="耳机"/>
        <s v="学习"/>
        <s v="饮水"/>
        <s v="原画"/>
        <s v="内务"/>
      </sharedItems>
    </cacheField>
    <cacheField name="DETAIL" numFmtId="0">
      <sharedItems containsBlank="1"/>
    </cacheField>
    <cacheField name="支出" numFmtId="176">
      <sharedItems containsString="0" containsBlank="1" containsNumber="1" minValue="0" maxValue="372.07"/>
    </cacheField>
    <cacheField name="核验列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9月"/>
    <m/>
    <n v="2798.7299999999996"/>
    <x v="0"/>
    <m/>
    <x v="0"/>
  </r>
  <r>
    <d v="2023-09-02T00:00:00"/>
    <s v="SA"/>
    <n v="553.84"/>
    <x v="1"/>
    <s v="哈喽出行"/>
    <x v="1"/>
  </r>
  <r>
    <m/>
    <m/>
    <m/>
    <x v="1"/>
    <s v="哈喽出行"/>
    <x v="2"/>
  </r>
  <r>
    <m/>
    <m/>
    <m/>
    <x v="2"/>
    <s v="拼多多高级笔记本"/>
    <x v="3"/>
  </r>
  <r>
    <m/>
    <m/>
    <m/>
    <x v="2"/>
    <s v="拼多多一般笔记本"/>
    <x v="4"/>
  </r>
  <r>
    <m/>
    <m/>
    <m/>
    <x v="2"/>
    <s v="拼多多笔芯0.5"/>
    <x v="5"/>
  </r>
  <r>
    <m/>
    <m/>
    <m/>
    <x v="2"/>
    <s v="拼多多笔芯按动"/>
    <x v="6"/>
  </r>
  <r>
    <m/>
    <m/>
    <m/>
    <x v="3"/>
    <s v="拼多多日光灯"/>
    <x v="7"/>
  </r>
  <r>
    <m/>
    <m/>
    <m/>
    <x v="3"/>
    <s v="插排"/>
    <x v="8"/>
  </r>
  <r>
    <m/>
    <m/>
    <m/>
    <x v="3"/>
    <s v="锁头x2"/>
    <x v="9"/>
  </r>
  <r>
    <m/>
    <m/>
    <m/>
    <x v="3"/>
    <s v="军训服装"/>
    <x v="10"/>
  </r>
  <r>
    <m/>
    <m/>
    <m/>
    <x v="3"/>
    <s v="沐浴水费押金"/>
    <x v="11"/>
  </r>
  <r>
    <m/>
    <m/>
    <m/>
    <x v="4"/>
    <s v="晚饭"/>
    <x v="12"/>
  </r>
  <r>
    <m/>
    <m/>
    <m/>
    <x v="3"/>
    <s v="网络 开户60+150半年"/>
    <x v="13"/>
  </r>
  <r>
    <d v="2023-09-03T00:00:00"/>
    <s v="SU"/>
    <n v="153.25"/>
    <x v="4"/>
    <s v="早饭 3+4"/>
    <x v="14"/>
  </r>
  <r>
    <m/>
    <m/>
    <m/>
    <x v="1"/>
    <s v="哈喽包月"/>
    <x v="15"/>
  </r>
  <r>
    <m/>
    <m/>
    <m/>
    <x v="4"/>
    <s v="午饭"/>
    <x v="12"/>
  </r>
  <r>
    <m/>
    <m/>
    <m/>
    <x v="3"/>
    <s v="路由器 合资四人"/>
    <x v="16"/>
  </r>
  <r>
    <m/>
    <m/>
    <m/>
    <x v="4"/>
    <s v="晚饭"/>
    <x v="12"/>
  </r>
  <r>
    <m/>
    <m/>
    <m/>
    <x v="3"/>
    <s v="网线"/>
    <x v="17"/>
  </r>
  <r>
    <m/>
    <m/>
    <m/>
    <x v="3"/>
    <s v="梯子 合资双人151"/>
    <x v="18"/>
  </r>
  <r>
    <d v="2023-09-04T00:00:00"/>
    <s v="MO"/>
    <n v="198.25"/>
    <x v="4"/>
    <s v="早餐"/>
    <x v="19"/>
  </r>
  <r>
    <m/>
    <m/>
    <m/>
    <x v="5"/>
    <s v="九月投资支出30+先前业务支出40+15"/>
    <x v="20"/>
  </r>
  <r>
    <m/>
    <m/>
    <m/>
    <x v="3"/>
    <s v="一卡移动话费"/>
    <x v="21"/>
  </r>
  <r>
    <m/>
    <m/>
    <m/>
    <x v="5"/>
    <s v="8月投资支出100+40+30=170"/>
    <x v="22"/>
  </r>
  <r>
    <m/>
    <m/>
    <m/>
    <x v="4"/>
    <s v="午餐"/>
    <x v="23"/>
  </r>
  <r>
    <m/>
    <m/>
    <m/>
    <x v="3"/>
    <s v="DD订水四人合资"/>
    <x v="24"/>
  </r>
  <r>
    <m/>
    <m/>
    <m/>
    <x v="3"/>
    <s v="DD订水60押金"/>
    <x v="25"/>
  </r>
  <r>
    <m/>
    <m/>
    <m/>
    <x v="4"/>
    <s v="晚餐"/>
    <x v="12"/>
  </r>
  <r>
    <d v="2023-09-05T00:00:00"/>
    <s v="TU"/>
    <n v="67.44"/>
    <x v="4"/>
    <s v="早餐"/>
    <x v="19"/>
  </r>
  <r>
    <m/>
    <m/>
    <m/>
    <x v="4"/>
    <s v="午餐"/>
    <x v="12"/>
  </r>
  <r>
    <m/>
    <m/>
    <m/>
    <x v="4"/>
    <s v="晚餐"/>
    <x v="12"/>
  </r>
  <r>
    <m/>
    <m/>
    <m/>
    <x v="3"/>
    <s v="明天早餐双人合资13.6元"/>
    <x v="26"/>
  </r>
  <r>
    <m/>
    <m/>
    <m/>
    <x v="6"/>
    <s v="弟学习用书"/>
    <x v="27"/>
  </r>
  <r>
    <m/>
    <m/>
    <m/>
    <x v="5"/>
    <s v="9.4日投资快递延迟补贴   未取"/>
    <x v="22"/>
  </r>
  <r>
    <d v="2023-09-06T00:00:00"/>
    <s v="WE"/>
    <n v="261"/>
    <x v="3"/>
    <s v="陈权合资水费2.25未交"/>
    <x v="22"/>
  </r>
  <r>
    <m/>
    <m/>
    <m/>
    <x v="3"/>
    <s v="校服"/>
    <x v="28"/>
  </r>
  <r>
    <m/>
    <m/>
    <m/>
    <x v="4"/>
    <s v="餐费"/>
    <x v="29"/>
  </r>
  <r>
    <d v="2023-09-07T00:00:00"/>
    <s v="TH"/>
    <n v="70.25"/>
    <x v="4"/>
    <s v="餐费"/>
    <x v="29"/>
  </r>
  <r>
    <m/>
    <m/>
    <m/>
    <x v="3"/>
    <s v="DD订水四人合资"/>
    <x v="24"/>
  </r>
  <r>
    <m/>
    <m/>
    <m/>
    <x v="5"/>
    <s v="九月投资支出40"/>
    <x v="30"/>
  </r>
  <r>
    <m/>
    <m/>
    <m/>
    <x v="3"/>
    <s v="身份证复印"/>
    <x v="31"/>
  </r>
  <r>
    <d v="2023-09-08T00:00:00"/>
    <s v="FR"/>
    <n v="109"/>
    <x v="2"/>
    <s v="高数二本 大学生生涯投资与就业创业能力提升 思想道德与法治"/>
    <x v="32"/>
  </r>
  <r>
    <m/>
    <m/>
    <m/>
    <x v="2"/>
    <s v="课本人体解剖和解剖彩图"/>
    <x v="32"/>
  </r>
  <r>
    <m/>
    <m/>
    <m/>
    <x v="4"/>
    <s v="无早餐 午餐12 晚餐15"/>
    <x v="33"/>
  </r>
  <r>
    <m/>
    <m/>
    <m/>
    <x v="1"/>
    <s v="地铁8元 公交2+2元"/>
    <x v="12"/>
  </r>
  <r>
    <d v="2023-09-09T00:00:00"/>
    <s v="SA"/>
    <n v="328.90000000000003"/>
    <x v="3"/>
    <s v="绿卡充值 父卡充值 (使用时计入)20"/>
    <x v="22"/>
  </r>
  <r>
    <m/>
    <m/>
    <m/>
    <x v="3"/>
    <s v="羊城通充值 (使用时计入)20"/>
    <x v="22"/>
  </r>
  <r>
    <m/>
    <m/>
    <m/>
    <x v="3"/>
    <s v="公交"/>
    <x v="34"/>
  </r>
  <r>
    <m/>
    <m/>
    <m/>
    <x v="3"/>
    <s v="地铁"/>
    <x v="35"/>
  </r>
  <r>
    <m/>
    <m/>
    <m/>
    <x v="3"/>
    <s v="双面胶"/>
    <x v="9"/>
  </r>
  <r>
    <m/>
    <m/>
    <m/>
    <x v="3"/>
    <s v="生活"/>
    <x v="9"/>
  </r>
  <r>
    <m/>
    <m/>
    <m/>
    <x v="2"/>
    <s v="《时事报告大学生版》"/>
    <x v="36"/>
  </r>
  <r>
    <m/>
    <m/>
    <m/>
    <x v="2"/>
    <s v="普通化学"/>
    <x v="37"/>
  </r>
  <r>
    <m/>
    <m/>
    <m/>
    <x v="2"/>
    <s v="高等数学上下习题"/>
    <x v="38"/>
  </r>
  <r>
    <m/>
    <m/>
    <m/>
    <x v="2"/>
    <s v="人工智能通识教程（第2版）"/>
    <x v="39"/>
  </r>
  <r>
    <m/>
    <m/>
    <m/>
    <x v="2"/>
    <s v="（new）新世纪大学英语系列学习（第二版）：快速阅读 2（一书一码）"/>
    <x v="40"/>
  </r>
  <r>
    <m/>
    <m/>
    <m/>
    <x v="2"/>
    <s v="（new）新世纪大学英语系列学习（第二版）：快速阅读 3（一书一码）"/>
    <x v="41"/>
  </r>
  <r>
    <m/>
    <m/>
    <m/>
    <x v="2"/>
    <s v="新融通大学英语阅读教程1"/>
    <x v="42"/>
  </r>
  <r>
    <m/>
    <m/>
    <m/>
    <x v="2"/>
    <s v="新融通大学英语阅读教程2"/>
    <x v="43"/>
  </r>
  <r>
    <m/>
    <m/>
    <m/>
    <x v="2"/>
    <s v="领航大学英语：综合教程 1 学生用书   已退款"/>
    <x v="22"/>
  </r>
  <r>
    <m/>
    <m/>
    <m/>
    <x v="2"/>
    <s v="新世纪大学英语系列学习：视听说教程（第四版）"/>
    <x v="44"/>
  </r>
  <r>
    <m/>
    <m/>
    <m/>
    <x v="2"/>
    <s v="新世纪大学英语系列学习：视听说教程（第四版）3 学生用书"/>
    <x v="45"/>
  </r>
  <r>
    <m/>
    <m/>
    <m/>
    <x v="4"/>
    <s v="晚餐"/>
    <x v="46"/>
  </r>
  <r>
    <d v="2023-09-10T00:00:00"/>
    <s v="SU"/>
    <n v="30.25"/>
    <x v="4"/>
    <s v="餐费"/>
    <x v="29"/>
  </r>
  <r>
    <m/>
    <m/>
    <m/>
    <x v="3"/>
    <s v="DD订水四人合资"/>
    <x v="24"/>
  </r>
  <r>
    <d v="2023-09-11T00:00:00"/>
    <s v="MO"/>
    <n v="40.01"/>
    <x v="4"/>
    <s v="早餐"/>
    <x v="47"/>
  </r>
  <r>
    <m/>
    <m/>
    <m/>
    <x v="4"/>
    <s v="午餐"/>
    <x v="48"/>
  </r>
  <r>
    <m/>
    <m/>
    <m/>
    <x v="1"/>
    <s v="羊城通充值 (使用时计入)20"/>
    <x v="22"/>
  </r>
  <r>
    <m/>
    <m/>
    <m/>
    <x v="3"/>
    <s v="广东汇银通商务校园饭卡（兼生活卡）"/>
    <x v="49"/>
  </r>
  <r>
    <m/>
    <m/>
    <m/>
    <x v="3"/>
    <s v="饭卡充值（使用时计入）28"/>
    <x v="22"/>
  </r>
  <r>
    <m/>
    <m/>
    <m/>
    <x v="3"/>
    <s v="四人合资用电"/>
    <x v="9"/>
  </r>
  <r>
    <m/>
    <m/>
    <m/>
    <x v="3"/>
    <s v="农夫大瓶"/>
    <x v="50"/>
  </r>
  <r>
    <m/>
    <m/>
    <m/>
    <x v="4"/>
    <s v="晚餐"/>
    <x v="51"/>
  </r>
  <r>
    <d v="2023-09-12T00:00:00"/>
    <s v="TU"/>
    <n v="25.5"/>
    <x v="4"/>
    <s v="早餐"/>
    <x v="50"/>
  </r>
  <r>
    <m/>
    <m/>
    <m/>
    <x v="4"/>
    <s v="午餐"/>
    <x v="9"/>
  </r>
  <r>
    <m/>
    <m/>
    <m/>
    <x v="3"/>
    <s v="饭卡充值（使用时计入）280"/>
    <x v="22"/>
  </r>
  <r>
    <m/>
    <m/>
    <m/>
    <x v="4"/>
    <s v="晚餐"/>
    <x v="12"/>
  </r>
  <r>
    <d v="2023-09-13T00:00:00"/>
    <s v="WE"/>
    <n v="50"/>
    <x v="2"/>
    <s v="领航大学英语：综合教程 1 学生用书   "/>
    <x v="52"/>
  </r>
  <r>
    <m/>
    <m/>
    <m/>
    <x v="2"/>
    <s v="原稿纸 "/>
    <x v="34"/>
  </r>
  <r>
    <m/>
    <m/>
    <m/>
    <x v="4"/>
    <s v="餐费 3+12+12"/>
    <x v="33"/>
  </r>
  <r>
    <d v="2023-09-14T00:00:00"/>
    <s v="TH"/>
    <n v="24"/>
    <x v="4"/>
    <s v="餐费10+14"/>
    <x v="53"/>
  </r>
  <r>
    <d v="2023-09-15T00:00:00"/>
    <s v="FR"/>
    <n v="23.25"/>
    <x v="4"/>
    <s v="餐费12+9"/>
    <x v="52"/>
  </r>
  <r>
    <m/>
    <m/>
    <m/>
    <x v="3"/>
    <s v="DD订水四人合资"/>
    <x v="24"/>
  </r>
  <r>
    <d v="2023-09-16T00:00:00"/>
    <s v="SA"/>
    <n v="25"/>
    <x v="4"/>
    <s v="餐费3+12+10"/>
    <x v="54"/>
  </r>
  <r>
    <d v="2023-09-17T00:00:00"/>
    <s v="SU"/>
    <n v="400.07"/>
    <x v="5"/>
    <s v="诚学信付"/>
    <x v="55"/>
  </r>
  <r>
    <m/>
    <m/>
    <m/>
    <x v="4"/>
    <s v="4+12+12"/>
    <x v="29"/>
  </r>
  <r>
    <d v="2023-09-18T00:00:00"/>
    <s v="MO"/>
    <n v="78.8"/>
    <x v="2"/>
    <s v="FREE大学英语"/>
    <x v="56"/>
  </r>
  <r>
    <m/>
    <m/>
    <m/>
    <x v="2"/>
    <s v="四级英语报名"/>
    <x v="57"/>
  </r>
  <r>
    <m/>
    <m/>
    <m/>
    <x v="4"/>
    <s v="餐费3+9+10"/>
    <x v="58"/>
  </r>
  <r>
    <m/>
    <m/>
    <n v="0"/>
    <x v="3"/>
    <s v="电费"/>
    <x v="54"/>
  </r>
  <r>
    <d v="2023-09-19T00:00:00"/>
    <s v="TU"/>
    <n v="26.25"/>
    <x v="4"/>
    <s v="餐费3+9+12"/>
    <x v="53"/>
  </r>
  <r>
    <m/>
    <m/>
    <m/>
    <x v="3"/>
    <s v="DD订水四人合资"/>
    <x v="24"/>
  </r>
  <r>
    <d v="2023-09-20T00:00:00"/>
    <s v="WE"/>
    <n v="25"/>
    <x v="4"/>
    <s v="餐费3+13+9"/>
    <x v="54"/>
  </r>
  <r>
    <d v="2023-09-21T00:00:00"/>
    <s v="TH"/>
    <n v="27"/>
    <x v="4"/>
    <s v="餐费3+12+12"/>
    <x v="33"/>
  </r>
  <r>
    <d v="2023-09-22T00:00:00"/>
    <s v="FR"/>
    <n v="26.25"/>
    <x v="4"/>
    <s v="餐费3+9+12"/>
    <x v="53"/>
  </r>
  <r>
    <m/>
    <m/>
    <m/>
    <x v="3"/>
    <s v="DD订水四人合资"/>
    <x v="24"/>
  </r>
  <r>
    <d v="2023-09-23T00:00:00"/>
    <s v="SA"/>
    <n v="24"/>
    <x v="4"/>
    <s v="餐费3+9+12"/>
    <x v="53"/>
  </r>
  <r>
    <d v="2023-09-24T00:00:00"/>
    <s v="SU"/>
    <n v="27.95"/>
    <x v="4"/>
    <s v="餐费3+7+13"/>
    <x v="45"/>
  </r>
  <r>
    <m/>
    <m/>
    <m/>
    <x v="3"/>
    <s v="DD订水四人合资"/>
    <x v="24"/>
  </r>
  <r>
    <m/>
    <m/>
    <m/>
    <x v="3"/>
    <s v="垃圾袋集资"/>
    <x v="59"/>
  </r>
  <r>
    <d v="2023-09-25T00:00:00"/>
    <s v="MO"/>
    <n v="22"/>
    <x v="4"/>
    <s v="餐费3+9+10"/>
    <x v="58"/>
  </r>
  <r>
    <d v="2023-09-26T00:00:00"/>
    <s v="TU"/>
    <n v="28.25"/>
    <x v="4"/>
    <s v="餐费4+10+12"/>
    <x v="60"/>
  </r>
  <r>
    <m/>
    <m/>
    <m/>
    <x v="3"/>
    <s v="DD订水四人合资"/>
    <x v="24"/>
  </r>
  <r>
    <d v="2023-09-27T00:00:00"/>
    <s v="WE"/>
    <n v="28"/>
    <x v="4"/>
    <s v="餐费4+12+12"/>
    <x v="29"/>
  </r>
  <r>
    <d v="2023-09-28T00:00:00"/>
    <s v="TH"/>
    <n v="33"/>
    <x v="4"/>
    <s v="餐费4+12"/>
    <x v="61"/>
  </r>
  <r>
    <m/>
    <m/>
    <m/>
    <x v="1"/>
    <s v="公交2+2地铁8"/>
    <x v="12"/>
  </r>
  <r>
    <m/>
    <m/>
    <m/>
    <x v="2"/>
    <s v="广工作业本"/>
    <x v="40"/>
  </r>
  <r>
    <d v="2023-09-29T00:00:00"/>
    <s v="FR"/>
    <n v="66.72"/>
    <x v="3"/>
    <s v="生菜"/>
    <x v="14"/>
  </r>
  <r>
    <m/>
    <m/>
    <m/>
    <x v="3"/>
    <s v="双人理发"/>
    <x v="57"/>
  </r>
  <r>
    <m/>
    <m/>
    <m/>
    <x v="5"/>
    <s v="思想政治拍摄小组高中舍友群与组织部部门群10+10+10-0.62-1.19-0.38-4.09"/>
    <x v="62"/>
  </r>
  <r>
    <d v="2023-09-30T00:00:00"/>
    <s v="SA"/>
    <n v="0"/>
    <x v="0"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x v="0"/>
    <x v="0"/>
    <m/>
    <x v="0"/>
    <x v="0"/>
    <m/>
  </r>
  <r>
    <x v="1"/>
    <x v="1"/>
    <n v="4.74"/>
    <x v="1"/>
    <x v="1"/>
    <n v="4.74"/>
  </r>
  <r>
    <x v="2"/>
    <x v="2"/>
    <n v="20"/>
    <x v="2"/>
    <x v="2"/>
    <n v="20"/>
  </r>
  <r>
    <x v="3"/>
    <x v="3"/>
    <n v="0"/>
    <x v="0"/>
    <x v="0"/>
    <m/>
  </r>
  <r>
    <x v="4"/>
    <x v="4"/>
    <n v="6.3"/>
    <x v="2"/>
    <x v="3"/>
    <n v="6.3"/>
  </r>
  <r>
    <x v="5"/>
    <x v="5"/>
    <n v="0"/>
    <x v="0"/>
    <x v="0"/>
    <m/>
  </r>
  <r>
    <x v="6"/>
    <x v="6"/>
    <n v="62.599999999999994"/>
    <x v="2"/>
    <x v="4"/>
    <n v="1.8"/>
  </r>
  <r>
    <x v="7"/>
    <x v="0"/>
    <m/>
    <x v="3"/>
    <x v="5"/>
    <n v="12"/>
  </r>
  <r>
    <x v="7"/>
    <x v="0"/>
    <m/>
    <x v="4"/>
    <x v="6"/>
    <n v="40.799999999999997"/>
  </r>
  <r>
    <x v="7"/>
    <x v="0"/>
    <m/>
    <x v="5"/>
    <x v="7"/>
    <n v="8"/>
  </r>
  <r>
    <x v="8"/>
    <x v="7"/>
    <n v="31.15"/>
    <x v="3"/>
    <x v="8"/>
    <n v="19"/>
  </r>
  <r>
    <x v="7"/>
    <x v="0"/>
    <m/>
    <x v="5"/>
    <x v="9"/>
    <n v="9.9"/>
  </r>
  <r>
    <x v="7"/>
    <x v="0"/>
    <m/>
    <x v="2"/>
    <x v="10"/>
    <n v="2.25"/>
  </r>
  <r>
    <x v="9"/>
    <x v="1"/>
    <n v="31"/>
    <x v="3"/>
    <x v="11"/>
    <n v="31"/>
  </r>
  <r>
    <x v="10"/>
    <x v="2"/>
    <n v="130.80000000000001"/>
    <x v="2"/>
    <x v="12"/>
    <n v="28"/>
  </r>
  <r>
    <x v="7"/>
    <x v="0"/>
    <m/>
    <x v="6"/>
    <x v="13"/>
    <n v="58"/>
  </r>
  <r>
    <x v="7"/>
    <x v="0"/>
    <m/>
    <x v="7"/>
    <x v="14"/>
    <n v="44.8"/>
  </r>
  <r>
    <x v="11"/>
    <x v="3"/>
    <n v="51.2"/>
    <x v="3"/>
    <x v="15"/>
    <n v="33"/>
  </r>
  <r>
    <x v="7"/>
    <x v="0"/>
    <m/>
    <x v="7"/>
    <x v="16"/>
    <n v="18.2"/>
  </r>
  <r>
    <x v="12"/>
    <x v="4"/>
    <n v="108"/>
    <x v="3"/>
    <x v="12"/>
    <n v="28"/>
  </r>
  <r>
    <x v="7"/>
    <x v="0"/>
    <m/>
    <x v="8"/>
    <x v="17"/>
    <n v="80"/>
  </r>
  <r>
    <x v="13"/>
    <x v="5"/>
    <n v="44.25"/>
    <x v="3"/>
    <x v="18"/>
    <n v="27"/>
  </r>
  <r>
    <x v="7"/>
    <x v="0"/>
    <m/>
    <x v="9"/>
    <x v="10"/>
    <n v="2.25"/>
  </r>
  <r>
    <x v="7"/>
    <x v="0"/>
    <m/>
    <x v="1"/>
    <x v="19"/>
    <n v="15"/>
  </r>
  <r>
    <x v="14"/>
    <x v="6"/>
    <n v="72.400000000000006"/>
    <x v="3"/>
    <x v="20"/>
    <n v="13"/>
  </r>
  <r>
    <x v="7"/>
    <x v="0"/>
    <m/>
    <x v="5"/>
    <x v="21"/>
    <n v="0"/>
  </r>
  <r>
    <x v="7"/>
    <x v="0"/>
    <m/>
    <x v="10"/>
    <x v="22"/>
    <n v="6"/>
  </r>
  <r>
    <x v="7"/>
    <x v="0"/>
    <m/>
    <x v="2"/>
    <x v="23"/>
    <n v="14.9"/>
  </r>
  <r>
    <x v="7"/>
    <x v="0"/>
    <m/>
    <x v="2"/>
    <x v="24"/>
    <n v="23.5"/>
  </r>
  <r>
    <x v="7"/>
    <x v="0"/>
    <m/>
    <x v="5"/>
    <x v="25"/>
    <n v="15"/>
  </r>
  <r>
    <x v="15"/>
    <x v="7"/>
    <n v="63.5"/>
    <x v="5"/>
    <x v="26"/>
    <n v="8"/>
  </r>
  <r>
    <x v="7"/>
    <x v="0"/>
    <m/>
    <x v="3"/>
    <x v="27"/>
    <n v="29.5"/>
  </r>
  <r>
    <x v="7"/>
    <x v="0"/>
    <m/>
    <x v="1"/>
    <x v="28"/>
    <n v="26"/>
  </r>
  <r>
    <x v="16"/>
    <x v="1"/>
    <n v="48.75"/>
    <x v="3"/>
    <x v="29"/>
    <n v="25.5"/>
  </r>
  <r>
    <x v="7"/>
    <x v="0"/>
    <m/>
    <x v="9"/>
    <x v="10"/>
    <n v="2.25"/>
  </r>
  <r>
    <x v="7"/>
    <x v="0"/>
    <m/>
    <x v="7"/>
    <x v="30"/>
    <n v="21"/>
  </r>
  <r>
    <x v="17"/>
    <x v="2"/>
    <n v="24"/>
    <x v="3"/>
    <x v="31"/>
    <n v="24"/>
  </r>
  <r>
    <x v="18"/>
    <x v="3"/>
    <n v="431.57"/>
    <x v="11"/>
    <x v="32"/>
    <n v="38"/>
  </r>
  <r>
    <x v="7"/>
    <x v="0"/>
    <m/>
    <x v="3"/>
    <x v="33"/>
    <n v="21.5"/>
  </r>
  <r>
    <x v="7"/>
    <x v="0"/>
    <m/>
    <x v="12"/>
    <x v="34"/>
    <n v="372.07"/>
  </r>
  <r>
    <x v="19"/>
    <x v="4"/>
    <n v="28.5"/>
    <x v="3"/>
    <x v="35"/>
    <n v="28.5"/>
  </r>
  <r>
    <x v="20"/>
    <x v="5"/>
    <n v="33"/>
    <x v="3"/>
    <x v="31"/>
    <n v="24"/>
  </r>
  <r>
    <x v="7"/>
    <x v="0"/>
    <m/>
    <x v="9"/>
    <x v="10"/>
    <n v="2.25"/>
  </r>
  <r>
    <x v="21"/>
    <x v="6"/>
    <n v="77.87"/>
    <x v="3"/>
    <x v="36"/>
    <n v="27"/>
  </r>
  <r>
    <x v="7"/>
    <x v="0"/>
    <m/>
    <x v="13"/>
    <x v="37"/>
    <n v="0.5"/>
  </r>
  <r>
    <x v="7"/>
    <x v="0"/>
    <m/>
    <x v="1"/>
    <x v="38"/>
    <n v="50.37"/>
  </r>
  <r>
    <x v="22"/>
    <x v="7"/>
    <n v="26.5"/>
    <x v="13"/>
    <x v="9"/>
    <n v="1"/>
  </r>
  <r>
    <x v="7"/>
    <x v="0"/>
    <m/>
    <x v="3"/>
    <x v="29"/>
    <n v="25.5"/>
  </r>
  <r>
    <x v="23"/>
    <x v="1"/>
    <n v="29"/>
    <x v="3"/>
    <x v="39"/>
    <n v="29"/>
  </r>
  <r>
    <x v="24"/>
    <x v="2"/>
    <n v="22.21"/>
    <x v="3"/>
    <x v="40"/>
    <n v="19"/>
  </r>
  <r>
    <x v="7"/>
    <x v="0"/>
    <m/>
    <x v="9"/>
    <x v="10"/>
    <n v="2.25"/>
  </r>
  <r>
    <x v="7"/>
    <x v="0"/>
    <m/>
    <x v="10"/>
    <x v="41"/>
    <n v="0.96"/>
  </r>
  <r>
    <x v="25"/>
    <x v="3"/>
    <n v="27.4"/>
    <x v="3"/>
    <x v="42"/>
    <n v="27"/>
  </r>
  <r>
    <x v="7"/>
    <x v="0"/>
    <m/>
    <x v="10"/>
    <x v="43"/>
    <n v="0.4"/>
  </r>
  <r>
    <x v="26"/>
    <x v="4"/>
    <n v="35.5"/>
    <x v="3"/>
    <x v="44"/>
    <n v="26.5"/>
  </r>
  <r>
    <x v="7"/>
    <x v="0"/>
    <m/>
    <x v="9"/>
    <x v="10"/>
    <n v="9"/>
  </r>
  <r>
    <x v="27"/>
    <x v="5"/>
    <n v="32"/>
    <x v="3"/>
    <x v="31"/>
    <n v="24"/>
  </r>
  <r>
    <x v="7"/>
    <x v="0"/>
    <m/>
    <x v="13"/>
    <x v="45"/>
    <n v="8"/>
  </r>
  <r>
    <x v="28"/>
    <x v="6"/>
    <n v="25.5"/>
    <x v="3"/>
    <x v="46"/>
    <n v="25.5"/>
  </r>
  <r>
    <x v="29"/>
    <x v="7"/>
    <n v="242.25"/>
    <x v="3"/>
    <x v="47"/>
    <n v="16.5"/>
  </r>
  <r>
    <x v="7"/>
    <x v="0"/>
    <m/>
    <x v="1"/>
    <x v="48"/>
    <n v="206"/>
  </r>
  <r>
    <x v="7"/>
    <x v="0"/>
    <m/>
    <x v="5"/>
    <x v="49"/>
    <n v="19.75"/>
  </r>
  <r>
    <x v="30"/>
    <x v="1"/>
    <n v="18"/>
    <x v="3"/>
    <x v="50"/>
    <n v="9"/>
  </r>
  <r>
    <x v="7"/>
    <x v="0"/>
    <m/>
    <x v="5"/>
    <x v="51"/>
    <n v="9"/>
  </r>
  <r>
    <x v="31"/>
    <x v="2"/>
    <n v="25"/>
    <x v="3"/>
    <x v="52"/>
    <n v="25"/>
  </r>
  <r>
    <x v="32"/>
    <x v="3"/>
    <n v="25"/>
    <x v="3"/>
    <x v="0"/>
    <n v="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11月"/>
    <m/>
    <m/>
    <x v="0"/>
    <m/>
    <m/>
  </r>
  <r>
    <d v="2023-11-01T00:00:00"/>
    <s v="WE"/>
    <n v="25"/>
    <x v="1"/>
    <s v="6+7+12"/>
    <n v="25"/>
  </r>
  <r>
    <m/>
    <m/>
    <m/>
    <x v="0"/>
    <m/>
    <m/>
  </r>
  <r>
    <d v="2023-11-02T00:00:00"/>
    <s v="TH"/>
    <n v="27.25"/>
    <x v="1"/>
    <s v="3+10+12"/>
    <n v="25"/>
  </r>
  <r>
    <m/>
    <m/>
    <m/>
    <x v="2"/>
    <s v="DD订水四人合资"/>
    <n v="2.25"/>
  </r>
  <r>
    <d v="2023-11-03T00:00:00"/>
    <s v="FR"/>
    <n v="47.9"/>
    <x v="3"/>
    <s v="哈喽单车"/>
    <n v="9.9"/>
  </r>
  <r>
    <m/>
    <m/>
    <m/>
    <x v="1"/>
    <s v="6+7"/>
    <n v="13"/>
  </r>
  <r>
    <m/>
    <m/>
    <m/>
    <x v="1"/>
    <s v="特殊 塔斯汀"/>
    <n v="25"/>
  </r>
  <r>
    <d v="2023-11-04T00:00:00"/>
    <s v="SA"/>
    <n v="23.9"/>
    <x v="1"/>
    <s v="11.9+12"/>
    <n v="23.9"/>
  </r>
  <r>
    <d v="2023-11-05T00:00:00"/>
    <s v="SU"/>
    <n v="43.15"/>
    <x v="2"/>
    <s v="DD订水四人合资"/>
    <n v="2.25"/>
  </r>
  <r>
    <m/>
    <m/>
    <m/>
    <x v="1"/>
    <s v="5+9+12"/>
    <n v="26"/>
  </r>
  <r>
    <m/>
    <m/>
    <m/>
    <x v="4"/>
    <s v="14.9奶茶和包子"/>
    <n v="14.9"/>
  </r>
  <r>
    <d v="2023-11-06T00:00:00"/>
    <s v="MO"/>
    <n v="23"/>
    <x v="1"/>
    <s v="3+10+10"/>
    <n v="23"/>
  </r>
  <r>
    <d v="2023-11-07T00:00:00"/>
    <s v="TU"/>
    <n v="27"/>
    <x v="1"/>
    <s v="3+12+12"/>
    <n v="27"/>
  </r>
  <r>
    <d v="2023-11-08T00:00:00"/>
    <s v="WE"/>
    <n v="26.5"/>
    <x v="1"/>
    <s v="4.5+10+12"/>
    <n v="26.5"/>
  </r>
  <r>
    <d v="2023-11-09T00:00:00"/>
    <s v="TH"/>
    <n v="30.25"/>
    <x v="1"/>
    <s v="7+9+12"/>
    <n v="28"/>
  </r>
  <r>
    <m/>
    <m/>
    <m/>
    <x v="2"/>
    <s v="DD订水四人合资"/>
    <n v="2.25"/>
  </r>
  <r>
    <d v="2023-11-10T00:00:00"/>
    <s v="FR"/>
    <n v="42.980000000000004"/>
    <x v="1"/>
    <s v="5+10+12 华莱士"/>
    <n v="26"/>
  </r>
  <r>
    <m/>
    <m/>
    <m/>
    <x v="5"/>
    <s v="衣架四人合资"/>
    <n v="2.98"/>
  </r>
  <r>
    <m/>
    <m/>
    <m/>
    <x v="3"/>
    <s v="5+2+2+5"/>
    <n v="14"/>
  </r>
  <r>
    <d v="2023-11-11T00:00:00"/>
    <s v="SA"/>
    <n v="139.63"/>
    <x v="1"/>
    <s v="5+10"/>
    <n v="15"/>
  </r>
  <r>
    <m/>
    <m/>
    <m/>
    <x v="6"/>
    <s v="中国移动"/>
    <n v="20"/>
  </r>
  <r>
    <m/>
    <m/>
    <m/>
    <x v="7"/>
    <s v="103.50+1.13"/>
    <n v="104.63"/>
  </r>
  <r>
    <d v="2023-11-12T00:00:00"/>
    <s v="SU"/>
    <n v="31.12"/>
    <x v="1"/>
    <s v="校庆饭票"/>
    <n v="0"/>
  </r>
  <r>
    <m/>
    <m/>
    <m/>
    <x v="8"/>
    <s v="耳机"/>
    <n v="28.6"/>
  </r>
  <r>
    <m/>
    <m/>
    <m/>
    <x v="5"/>
    <s v="指甲"/>
    <n v="2.52"/>
  </r>
  <r>
    <d v="2023-11-13T00:00:00"/>
    <s v="MO"/>
    <n v="25.04"/>
    <x v="1"/>
    <s v="3+10+12"/>
    <n v="25"/>
  </r>
  <r>
    <m/>
    <m/>
    <m/>
    <x v="9"/>
    <n v="0.04"/>
    <n v="0.04"/>
  </r>
  <r>
    <d v="2023-11-14T00:00:00"/>
    <s v="TU"/>
    <n v="33"/>
    <x v="1"/>
    <s v="3+9+12"/>
    <n v="24"/>
  </r>
  <r>
    <m/>
    <m/>
    <m/>
    <x v="2"/>
    <s v="DD订水四人合资"/>
    <n v="2.25"/>
  </r>
  <r>
    <d v="2023-11-15T00:00:00"/>
    <s v="WE"/>
    <n v="27"/>
    <x v="1"/>
    <s v="5+10+12"/>
    <n v="27"/>
  </r>
  <r>
    <d v="2023-11-16T00:00:00"/>
    <s v="TH"/>
    <n v="30.7"/>
    <x v="1"/>
    <s v="5+12+12"/>
    <n v="29"/>
  </r>
  <r>
    <m/>
    <m/>
    <m/>
    <x v="5"/>
    <s v="1.7打印"/>
    <n v="1.7"/>
  </r>
  <r>
    <d v="2023-11-17T00:00:00"/>
    <s v="FR"/>
    <n v="54"/>
    <x v="3"/>
    <s v="8+4"/>
    <n v="12"/>
  </r>
  <r>
    <m/>
    <m/>
    <m/>
    <x v="1"/>
    <s v="5+9+10"/>
    <n v="24"/>
  </r>
  <r>
    <m/>
    <m/>
    <m/>
    <x v="5"/>
    <s v="理发"/>
    <n v="18"/>
  </r>
  <r>
    <d v="2023-11-18T00:00:00"/>
    <s v="SU"/>
    <n v="372.07"/>
    <x v="10"/>
    <s v="诚学信付"/>
    <n v="372.07"/>
  </r>
  <r>
    <d v="2023-11-19T00:00:00"/>
    <s v="SA"/>
    <n v="18"/>
    <x v="3"/>
    <s v="8+2"/>
    <n v="10"/>
  </r>
  <r>
    <m/>
    <m/>
    <m/>
    <x v="1"/>
    <n v="8"/>
    <n v="8"/>
  </r>
  <r>
    <d v="2023-11-20T00:00:00"/>
    <s v="MO"/>
    <n v="27.25"/>
    <x v="2"/>
    <s v="DD订水四人合资"/>
    <n v="2.25"/>
  </r>
  <r>
    <m/>
    <m/>
    <m/>
    <x v="1"/>
    <s v="4+9+12"/>
    <n v="25"/>
  </r>
  <r>
    <d v="2023-11-21T00:00:00"/>
    <s v="TU"/>
    <n v="29.3"/>
    <x v="1"/>
    <s v="5.5+9+14.8"/>
    <n v="29.3"/>
  </r>
  <r>
    <d v="2023-11-22T00:00:00"/>
    <s v="WE"/>
    <n v="104.6"/>
    <x v="1"/>
    <s v="3+7+10"/>
    <n v="20"/>
  </r>
  <r>
    <m/>
    <m/>
    <m/>
    <x v="7"/>
    <s v="礼物置身事外书 翁君"/>
    <n v="45"/>
  </r>
  <r>
    <m/>
    <m/>
    <m/>
    <x v="3"/>
    <s v="周五肇庆来回车票19.8+19.8"/>
    <n v="39.6"/>
  </r>
  <r>
    <d v="2023-11-23T00:00:00"/>
    <s v="TH"/>
    <n v="26"/>
    <x v="1"/>
    <s v="3+11+12"/>
    <n v="26"/>
  </r>
  <r>
    <d v="2023-11-24T00:00:00"/>
    <s v="FR"/>
    <n v="46.55"/>
    <x v="1"/>
    <s v="3+6.8+14"/>
    <n v="23.8"/>
  </r>
  <r>
    <m/>
    <m/>
    <m/>
    <x v="2"/>
    <s v="DD订水四人合资"/>
    <n v="2.25"/>
  </r>
  <r>
    <m/>
    <m/>
    <m/>
    <x v="5"/>
    <s v="矿泉水3+3.5"/>
    <n v="6.5"/>
  </r>
  <r>
    <m/>
    <m/>
    <m/>
    <x v="3"/>
    <s v="3+3"/>
    <n v="6"/>
  </r>
  <r>
    <m/>
    <m/>
    <m/>
    <x v="11"/>
    <s v="哈喽单车"/>
    <n v="8"/>
  </r>
  <r>
    <d v="2023-11-25T00:00:00"/>
    <s v="SA"/>
    <n v="64.199999999999989"/>
    <x v="7"/>
    <s v="庞伟聪 17.40+15.9"/>
    <n v="33.299999999999997"/>
  </r>
  <r>
    <m/>
    <m/>
    <m/>
    <x v="1"/>
    <s v="5+12+13.9"/>
    <n v="30.9"/>
  </r>
  <r>
    <d v="2023-11-26T00:00:00"/>
    <s v="SU"/>
    <m/>
    <x v="1"/>
    <s v="3+10+13"/>
    <n v="26"/>
  </r>
  <r>
    <d v="2023-11-27T00:00:00"/>
    <s v="MO"/>
    <m/>
    <x v="1"/>
    <s v="3+17.90塔斯汀+10"/>
    <n v="30.9"/>
  </r>
  <r>
    <m/>
    <m/>
    <m/>
    <x v="2"/>
    <s v="DD订水四人合资"/>
    <n v="2.25"/>
  </r>
  <r>
    <d v="2023-11-28T00:00:00"/>
    <s v="TU"/>
    <n v="29"/>
    <x v="1"/>
    <s v="3+14+12"/>
    <n v="29"/>
  </r>
  <r>
    <d v="2023-11-29T00:00:00"/>
    <s v="WE"/>
    <n v="36.799999999999997"/>
    <x v="1"/>
    <s v="3+12+10"/>
    <n v="25"/>
  </r>
  <r>
    <m/>
    <m/>
    <m/>
    <x v="8"/>
    <s v="化学解题解析"/>
    <n v="11.8"/>
  </r>
  <r>
    <d v="2023-11-30T00:00:00"/>
    <s v="TH"/>
    <n v="68.849999999999994"/>
    <x v="2"/>
    <s v="DD订水四人合资"/>
    <n v="2.25"/>
  </r>
  <r>
    <m/>
    <m/>
    <m/>
    <x v="1"/>
    <s v="5+10+15"/>
    <n v="30"/>
  </r>
  <r>
    <m/>
    <m/>
    <m/>
    <x v="8"/>
    <s v="康复物理因子治疗"/>
    <n v="36.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12月"/>
    <m/>
    <m/>
    <x v="0"/>
    <m/>
    <m/>
    <m/>
  </r>
  <r>
    <d v="2023-12-01T00:00:00"/>
    <s v="FR"/>
    <n v="56.8"/>
    <x v="1"/>
    <s v="卢文克作品集 风云录"/>
    <n v="15"/>
    <m/>
  </r>
  <r>
    <m/>
    <m/>
    <m/>
    <x v="1"/>
    <s v="置身事内"/>
    <n v="12.8"/>
    <m/>
  </r>
  <r>
    <m/>
    <m/>
    <m/>
    <x v="2"/>
    <s v="5+12+12"/>
    <n v="29"/>
    <m/>
  </r>
  <r>
    <d v="2023-12-02T00:00:00"/>
    <s v="SA"/>
    <n v="26"/>
    <x v="2"/>
    <s v="6+10"/>
    <n v="16"/>
    <m/>
  </r>
  <r>
    <m/>
    <m/>
    <m/>
    <x v="3"/>
    <s v="8+2"/>
    <n v="10"/>
    <m/>
  </r>
  <r>
    <d v="2023-12-03T00:00:00"/>
    <s v="SU"/>
    <n v="32"/>
    <x v="3"/>
    <s v="2+8"/>
    <n v="10"/>
    <m/>
  </r>
  <r>
    <m/>
    <m/>
    <m/>
    <x v="2"/>
    <s v="10+12"/>
    <n v="22"/>
    <m/>
  </r>
  <r>
    <d v="2023-12-04T00:00:00"/>
    <s v="MO"/>
    <n v="39.15"/>
    <x v="2"/>
    <s v="3+12+12"/>
    <n v="27"/>
    <m/>
  </r>
  <r>
    <m/>
    <m/>
    <m/>
    <x v="3"/>
    <s v="哈喽出行"/>
    <n v="9.9"/>
    <m/>
  </r>
  <r>
    <m/>
    <m/>
    <m/>
    <x v="4"/>
    <s v="DD订水四人合资"/>
    <n v="2.25"/>
    <m/>
  </r>
  <r>
    <d v="2023-12-05T00:00:00"/>
    <s v="TU"/>
    <n v="51"/>
    <x v="2"/>
    <s v="5+9+12"/>
    <n v="26"/>
    <m/>
  </r>
  <r>
    <m/>
    <m/>
    <m/>
    <x v="4"/>
    <s v="电精灵"/>
    <n v="25"/>
    <m/>
  </r>
  <r>
    <d v="2023-12-06T00:00:00"/>
    <s v="WE"/>
    <n v="120.88"/>
    <x v="2"/>
    <s v="5+12+15"/>
    <n v="32"/>
    <m/>
  </r>
  <r>
    <m/>
    <m/>
    <m/>
    <x v="5"/>
    <s v="交通 去往中大深圳校区"/>
    <n v="61"/>
    <m/>
  </r>
  <r>
    <m/>
    <m/>
    <m/>
    <x v="6"/>
    <s v="原耳机丢失"/>
    <n v="27.88"/>
    <s v="已核验"/>
  </r>
  <r>
    <d v="2023-12-07T00:00:00"/>
    <s v="TH"/>
    <n v="26"/>
    <x v="2"/>
    <s v="5+9+12"/>
    <n v="26"/>
    <m/>
  </r>
  <r>
    <d v="2023-12-08T00:00:00"/>
    <s v="FR"/>
    <n v="16.5"/>
    <x v="2"/>
    <s v="5+11.5"/>
    <n v="16.5"/>
    <m/>
  </r>
  <r>
    <d v="2023-12-09T00:00:00"/>
    <s v="SA"/>
    <n v="228"/>
    <x v="5"/>
    <s v="晚餐 15 矿泉水2   早餐9 社交礼品113.40 6个商品"/>
    <n v="139.4"/>
    <m/>
  </r>
  <r>
    <d v="2023-12-10T00:00:00"/>
    <s v="SU"/>
    <m/>
    <x v="5"/>
    <s v="回广州61 哈喽电动2.5+1+1.3+1.5+3+3+1.5+1.5+2.8+3+1.5+3"/>
    <n v="86.6"/>
    <m/>
  </r>
  <r>
    <m/>
    <m/>
    <m/>
    <x v="3"/>
    <s v="地铁2"/>
    <n v="2"/>
    <m/>
  </r>
  <r>
    <d v="2023-12-11T00:00:00"/>
    <s v="MO"/>
    <n v="88.09"/>
    <x v="2"/>
    <s v="3+9+12"/>
    <n v="24"/>
    <m/>
  </r>
  <r>
    <m/>
    <m/>
    <m/>
    <x v="7"/>
    <s v="草稿纸10本*2"/>
    <n v="31.84"/>
    <m/>
  </r>
  <r>
    <m/>
    <m/>
    <m/>
    <x v="8"/>
    <s v="DD订水四人合资"/>
    <n v="2.25"/>
    <m/>
  </r>
  <r>
    <m/>
    <m/>
    <m/>
    <x v="4"/>
    <s v="话费"/>
    <n v="30"/>
    <m/>
  </r>
  <r>
    <d v="2023-12-12T00:00:00"/>
    <s v="TU"/>
    <n v="27"/>
    <x v="2"/>
    <s v="3+12+12"/>
    <n v="27"/>
    <m/>
  </r>
  <r>
    <d v="2023-12-13T00:00:00"/>
    <s v="WE"/>
    <n v="24.6"/>
    <x v="4"/>
    <s v="打印"/>
    <n v="0.6"/>
    <m/>
  </r>
  <r>
    <m/>
    <m/>
    <m/>
    <x v="2"/>
    <s v="3+9+12"/>
    <n v="24"/>
    <m/>
  </r>
  <r>
    <d v="2023-12-14T00:00:00"/>
    <s v="TH"/>
    <n v="29.25"/>
    <x v="8"/>
    <s v="DD订水四人合资"/>
    <n v="2.25"/>
    <m/>
  </r>
  <r>
    <m/>
    <m/>
    <m/>
    <x v="2"/>
    <s v="5+10+12"/>
    <n v="27"/>
    <m/>
  </r>
  <r>
    <d v="2023-12-15T00:00:00"/>
    <s v="FR"/>
    <n v="149"/>
    <x v="5"/>
    <s v="交通 来回中大深圳校区"/>
    <n v="122"/>
    <m/>
  </r>
  <r>
    <m/>
    <m/>
    <m/>
    <x v="7"/>
    <s v="橡皮"/>
    <n v="2"/>
    <m/>
  </r>
  <r>
    <m/>
    <m/>
    <m/>
    <x v="2"/>
    <s v="3+10+12"/>
    <n v="25"/>
    <m/>
  </r>
  <r>
    <d v="2023-12-16T00:00:00"/>
    <s v="SA"/>
    <n v="39"/>
    <x v="5"/>
    <s v="晚餐饼 9 +夜宵13"/>
    <n v="22"/>
    <m/>
  </r>
  <r>
    <m/>
    <m/>
    <m/>
    <x v="2"/>
    <s v="5+12"/>
    <n v="17"/>
    <m/>
  </r>
  <r>
    <d v="2023-12-17T00:00:00"/>
    <s v="SU"/>
    <n v="0"/>
    <x v="0"/>
    <m/>
    <n v="0"/>
    <m/>
  </r>
  <r>
    <d v="2023-12-18T00:00:00"/>
    <s v="MO"/>
    <n v="430.32"/>
    <x v="9"/>
    <s v=" 诚学信付"/>
    <n v="372.07"/>
    <m/>
  </r>
  <r>
    <m/>
    <m/>
    <m/>
    <x v="2"/>
    <s v="夜宵27 5+12+12"/>
    <n v="56"/>
    <m/>
  </r>
  <r>
    <m/>
    <m/>
    <m/>
    <x v="8"/>
    <s v="DD订水四人合资"/>
    <n v="2.25"/>
    <s v="已核验"/>
  </r>
  <r>
    <d v="2024-12-19T00:00:00"/>
    <s v="TU"/>
    <n v="24"/>
    <x v="2"/>
    <s v="3+9+12"/>
    <n v="24"/>
    <m/>
  </r>
  <r>
    <d v="2024-12-20T00:00:00"/>
    <s v="WE"/>
    <n v="27"/>
    <x v="2"/>
    <s v="3+12+12"/>
    <n v="27"/>
    <m/>
  </r>
  <r>
    <d v="2024-12-21T00:00:00"/>
    <s v="TH"/>
    <n v="29"/>
    <x v="2"/>
    <s v="5+12+12"/>
    <n v="29"/>
    <m/>
  </r>
  <r>
    <d v="2024-12-22T00:00:00"/>
    <s v="FR"/>
    <n v="24.5"/>
    <x v="2"/>
    <s v="11.5+5"/>
    <n v="16.5"/>
    <m/>
  </r>
  <r>
    <m/>
    <m/>
    <m/>
    <x v="3"/>
    <s v="地铁8"/>
    <n v="8"/>
    <m/>
  </r>
  <r>
    <d v="2024-12-23T00:00:00"/>
    <s v="SA"/>
    <n v="15.65"/>
    <x v="8"/>
    <s v="DD订水四人合资"/>
    <n v="2.25"/>
    <m/>
  </r>
  <r>
    <m/>
    <m/>
    <m/>
    <x v="7"/>
    <s v="下年东阁本"/>
    <n v="13.4"/>
    <m/>
  </r>
  <r>
    <d v="2024-12-24T00:00:00"/>
    <s v="SU"/>
    <n v="34"/>
    <x v="2"/>
    <s v="14+12"/>
    <n v="26"/>
    <m/>
  </r>
  <r>
    <m/>
    <m/>
    <m/>
    <x v="3"/>
    <s v="1+7地铁"/>
    <n v="8"/>
    <m/>
  </r>
  <r>
    <d v="2024-12-25T00:00:00"/>
    <s v="MO"/>
    <n v="27"/>
    <x v="2"/>
    <s v="3+12+12"/>
    <n v="27"/>
    <m/>
  </r>
  <r>
    <d v="2024-12-26T00:00:00"/>
    <s v="TU"/>
    <n v="25"/>
    <x v="2"/>
    <s v="3+10+12"/>
    <n v="25"/>
    <m/>
  </r>
  <r>
    <d v="2024-12-27T00:00:00"/>
    <s v="WE"/>
    <n v="27"/>
    <x v="2"/>
    <s v="5+10+12"/>
    <n v="27"/>
    <m/>
  </r>
  <r>
    <d v="2024-12-28T00:00:00"/>
    <s v="TH"/>
    <n v="31.2"/>
    <x v="2"/>
    <s v="3+10+12"/>
    <n v="25"/>
    <m/>
  </r>
  <r>
    <m/>
    <m/>
    <m/>
    <x v="4"/>
    <s v="奶茶 打印准考证"/>
    <n v="6.2"/>
    <m/>
  </r>
  <r>
    <d v="2024-12-29T00:00:00"/>
    <s v="FR"/>
    <n v="33"/>
    <x v="2"/>
    <s v="3+12"/>
    <n v="15"/>
    <m/>
  </r>
  <r>
    <m/>
    <m/>
    <m/>
    <x v="2"/>
    <s v="木桶饭"/>
    <n v="18"/>
    <m/>
  </r>
  <r>
    <d v="2024-12-30T00:00:00"/>
    <s v="SA"/>
    <n v="27.25"/>
    <x v="2"/>
    <s v="3+13"/>
    <n v="16"/>
    <m/>
  </r>
  <r>
    <m/>
    <m/>
    <m/>
    <x v="3"/>
    <s v="7+2"/>
    <n v="9"/>
    <m/>
  </r>
  <r>
    <m/>
    <m/>
    <m/>
    <x v="8"/>
    <s v="DD订水四人合资"/>
    <n v="2.25"/>
    <m/>
  </r>
  <r>
    <d v="2024-12-31T00:00:00"/>
    <s v="SU"/>
    <n v="44.88"/>
    <x v="10"/>
    <s v="医疗"/>
    <n v="44.8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2FE70-B86A-40A6-ADCC-5BD511601C48}" name="数据透视表3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H278:I290" firstHeaderRow="1" firstDataRow="1" firstDataCol="1"/>
  <pivotFields count="7">
    <pivotField showAll="0"/>
    <pivotField showAll="0"/>
    <pivotField showAll="0"/>
    <pivotField axis="axisRow" showAll="0">
      <items count="12">
        <item x="1"/>
        <item x="2"/>
        <item x="6"/>
        <item x="3"/>
        <item x="10"/>
        <item x="4"/>
        <item x="7"/>
        <item x="8"/>
        <item x="9"/>
        <item x="5"/>
        <item x="0"/>
        <item t="default"/>
      </items>
    </pivotField>
    <pivotField showAll="0"/>
    <pivotField dataField="1"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求和项:支出" fld="5" baseField="0" baseItem="0"/>
  </dataFields>
  <formats count="12"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3" type="button" dataOnly="0" labelOnly="1" outline="0" axis="axisRow" fieldPosition="0"/>
    </format>
    <format dxfId="96">
      <pivotArea dataOnly="0" labelOnly="1" fieldPosition="0">
        <references count="1">
          <reference field="3" count="0"/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3" type="button" dataOnly="0" labelOnly="1" outline="0" axis="axisRow" fieldPosition="0"/>
    </format>
    <format dxfId="90">
      <pivotArea dataOnly="0" labelOnly="1" fieldPosition="0">
        <references count="1">
          <reference field="3" count="0"/>
        </references>
      </pivotArea>
    </format>
    <format dxfId="89">
      <pivotArea dataOnly="0" labelOnly="1" grandRow="1" outline="0" fieldPosition="0"/>
    </format>
    <format dxfId="88">
      <pivotArea dataOnly="0" labelOnly="1" outline="0" axis="axisValues" fieldPosition="0"/>
    </format>
  </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F9AF0-2800-4909-9E2F-34AFBB171B99}" name="数据透视表25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H142:I157" firstHeaderRow="1" firstDataRow="1" firstDataCol="1"/>
  <pivotFields count="6">
    <pivotField showAll="0">
      <items count="34"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7"/>
        <item t="default"/>
      </items>
    </pivotField>
    <pivotField showAll="0">
      <items count="9">
        <item x="6"/>
        <item x="2"/>
        <item x="7"/>
        <item x="1"/>
        <item x="5"/>
        <item x="3"/>
        <item x="4"/>
        <item x="0"/>
        <item t="default"/>
      </items>
    </pivotField>
    <pivotField showAll="0"/>
    <pivotField axis="axisRow" showAll="0">
      <items count="15">
        <item x="3"/>
        <item x="8"/>
        <item x="5"/>
        <item x="6"/>
        <item x="13"/>
        <item x="4"/>
        <item x="10"/>
        <item x="1"/>
        <item x="2"/>
        <item x="11"/>
        <item x="7"/>
        <item x="9"/>
        <item x="12"/>
        <item x="0"/>
        <item t="default"/>
      </items>
    </pivotField>
    <pivotField showAll="0">
      <items count="54">
        <item x="50"/>
        <item x="33"/>
        <item x="46"/>
        <item x="52"/>
        <item x="36"/>
        <item x="42"/>
        <item x="31"/>
        <item x="44"/>
        <item x="47"/>
        <item x="35"/>
        <item x="29"/>
        <item x="39"/>
        <item x="20"/>
        <item x="40"/>
        <item x="13"/>
        <item x="30"/>
        <item x="10"/>
        <item x="38"/>
        <item x="27"/>
        <item x="8"/>
        <item x="12"/>
        <item x="15"/>
        <item x="18"/>
        <item x="11"/>
        <item x="45"/>
        <item x="41"/>
        <item x="34"/>
        <item x="43"/>
        <item x="26"/>
        <item x="6"/>
        <item x="17"/>
        <item x="32"/>
        <item x="37"/>
        <item x="51"/>
        <item x="25"/>
        <item x="7"/>
        <item x="9"/>
        <item x="49"/>
        <item x="1"/>
        <item x="2"/>
        <item x="19"/>
        <item x="24"/>
        <item x="48"/>
        <item x="4"/>
        <item x="3"/>
        <item x="23"/>
        <item x="16"/>
        <item x="22"/>
        <item x="5"/>
        <item x="14"/>
        <item x="21"/>
        <item x="28"/>
        <item x="0"/>
        <item t="default"/>
      </items>
    </pivotField>
    <pivotField dataField="1"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求和项:支出" fld="5" baseField="0" baseItem="0"/>
  </dataFields>
  <formats count="6"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3" type="button" dataOnly="0" labelOnly="1" outline="0" axis="axisRow" fieldPosition="0"/>
    </format>
    <format dxfId="102">
      <pivotArea dataOnly="0" labelOnly="1" fieldPosition="0">
        <references count="1">
          <reference field="3" count="0"/>
        </references>
      </pivotArea>
    </format>
    <format dxfId="101">
      <pivotArea dataOnly="0" labelOnly="1" grandRow="1" outline="0" fieldPosition="0"/>
    </format>
    <format dxfId="100">
      <pivotArea dataOnly="0" labelOnly="1" outline="0" axis="axisValues" fieldPosition="0"/>
    </format>
  </format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580CB-5E69-4BE9-96EE-FC7E1507B8A0}" name="数据透视表29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 chartFormat="5">
  <location ref="H4:I11" firstHeaderRow="1" firstDataRow="1" firstDataCol="1"/>
  <pivotFields count="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4"/>
        <item x="1"/>
        <item x="3"/>
        <item x="5"/>
        <item x="6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求和项:支出" fld="5" baseField="0" baseItem="0"/>
  </dataFields>
  <formats count="5"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3" type="button" dataOnly="0" labelOnly="1" outline="0" axis="axisRow" fieldPosition="0"/>
    </format>
    <format dxfId="107">
      <pivotArea dataOnly="0" labelOnly="1" outline="0" fieldPosition="0">
        <references count="1">
          <reference field="3" count="0"/>
        </references>
      </pivotArea>
    </format>
    <format dxfId="106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55CEC-78BC-4F6C-A43A-3E8EB0E3CEF4}" name="数据透视表2" cacheId="1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H197:I210" firstHeaderRow="1" firstDataRow="1" firstDataCol="1"/>
  <pivotFields count="6">
    <pivotField showAll="0"/>
    <pivotField showAll="0"/>
    <pivotField showAll="0"/>
    <pivotField axis="axisRow" showAll="0">
      <items count="13">
        <item x="1"/>
        <item x="6"/>
        <item x="3"/>
        <item x="11"/>
        <item x="9"/>
        <item x="4"/>
        <item x="7"/>
        <item x="5"/>
        <item x="8"/>
        <item x="2"/>
        <item x="10"/>
        <item x="0"/>
        <item t="default"/>
      </items>
    </pivotField>
    <pivotField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求和项:支出" fld="5" baseField="0" baseItem="0"/>
  </dataFields>
  <formats count="6"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3" type="button" dataOnly="0" labelOnly="1" outline="0" axis="axisRow" fieldPosition="0"/>
    </format>
    <format dxfId="113">
      <pivotArea dataOnly="0" labelOnly="1" fieldPosition="0">
        <references count="1">
          <reference field="3" count="0"/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</format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607AA-F999-40D4-9C83-8711E74524C8}" name="表1" displayName="表1" ref="A1:F114" totalsRowCount="1" headerRowDxfId="87" dataDxfId="85" headerRowBorderDxfId="86" tableBorderDxfId="84" totalsRowBorderDxfId="83">
  <autoFilter ref="A1:F113" xr:uid="{404607AA-F999-40D4-9C83-8711E74524C8}"/>
  <tableColumns count="6">
    <tableColumn id="1" xr3:uid="{9263C662-4CCE-4B1A-B72F-2299D5C8AFDB}" name="日期" dataDxfId="82" totalsRowDxfId="81"/>
    <tableColumn id="2" xr3:uid="{5E5A2179-49EA-4E03-89A2-7742AFD553D2}" name="星期" dataDxfId="80" totalsRowDxfId="79"/>
    <tableColumn id="7" xr3:uid="{8AEC2204-0462-4040-A84A-69CE107D5995}" name="日合计" dataDxfId="78" totalsRowDxfId="77"/>
    <tableColumn id="6" xr3:uid="{289A4010-E376-43FA-A285-E1602B9826B2}" name="类型" dataDxfId="76" totalsRowDxfId="75"/>
    <tableColumn id="3" xr3:uid="{4B7B3171-1345-432B-A3C4-9F30E478A4FA}" name="DETAIL" dataDxfId="74" totalsRowDxfId="73"/>
    <tableColumn id="4" xr3:uid="{F8F4226C-62F5-4AEA-B541-05E9C3B00587}" name="支出" dataDxfId="72" totalsRowDxfId="7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64D6BC-9864-421E-8FB5-ED15B52B1ADF}" name="表5" displayName="表5" ref="A118:F185" totalsRowCount="1" headerRowDxfId="70" dataDxfId="68" headerRowBorderDxfId="69" tableBorderDxfId="67" totalsRowBorderDxfId="66">
  <autoFilter ref="A118:F184" xr:uid="{4D64D6BC-9864-421E-8FB5-ED15B52B1ADF}"/>
  <tableColumns count="6">
    <tableColumn id="1" xr3:uid="{55F3E33B-BA23-45FD-A4D4-461D3AA0B5A3}" name="日期" dataDxfId="65" totalsRowDxfId="64"/>
    <tableColumn id="2" xr3:uid="{0BB9360A-6DE3-454D-95F2-3D09CDD05917}" name="星期" dataDxfId="63" totalsRowDxfId="62"/>
    <tableColumn id="3" xr3:uid="{80EF1090-B1DA-4F80-8C78-E92415F76489}" name="日合计" dataDxfId="61" totalsRowDxfId="60"/>
    <tableColumn id="4" xr3:uid="{D3E8C409-44FF-4D5C-9393-26BCFAF27494}" name="类型" totalsRowFunction="custom" dataDxfId="59" totalsRowDxfId="58">
      <totalsRowFormula>SUBTOTAL(109,D119:D184)</totalsRowFormula>
    </tableColumn>
    <tableColumn id="5" xr3:uid="{359D2060-C12A-489A-9A91-0ADFE81A5821}" name="DETAIL" totalsRowFunction="custom" dataDxfId="57" totalsRowDxfId="56">
      <totalsRowFormula>SUBTOTAL(109,E119:E184)</totalsRowFormula>
    </tableColumn>
    <tableColumn id="6" xr3:uid="{784A71E1-8BA4-4723-9A19-08428958AEFD}" name="支出" totalsRowFunction="custom" dataDxfId="55" totalsRowDxfId="54">
      <totalsRowFormula>SUBTOTAL(109,F119:F184)</totalsRow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12B33B-0574-4BCD-80F5-79734860E66B}" name="表7" displayName="表7" ref="A191:F253" totalsRowShown="0" headerRowDxfId="53" dataDxfId="51" headerRowBorderDxfId="52" tableBorderDxfId="50" totalsRowBorderDxfId="49">
  <autoFilter ref="A191:F253" xr:uid="{A212B33B-0574-4BCD-80F5-79734860E66B}"/>
  <tableColumns count="6">
    <tableColumn id="1" xr3:uid="{07AA2E28-90EB-4780-B52F-4201AF2366F3}" name="日期" dataDxfId="48"/>
    <tableColumn id="2" xr3:uid="{79E1A15B-C205-43DB-9F63-F8B997873713}" name="星期" dataDxfId="47"/>
    <tableColumn id="3" xr3:uid="{3C5ECC16-E019-4406-A28B-85118C782386}" name="日合计" dataDxfId="46"/>
    <tableColumn id="4" xr3:uid="{1A3D763A-485D-4AD6-BF66-40B87D330152}" name="类型" dataDxfId="45"/>
    <tableColumn id="5" xr3:uid="{C467DDFE-A495-4091-9644-D78F7BE63FD4}" name="DETAIL" dataDxfId="44"/>
    <tableColumn id="6" xr3:uid="{6DD487F2-A534-4AC6-A43E-42232960DFD9}" name="支出" dataDxf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E671E4-C134-41F9-AACA-8DCBA1C4CCBD}" name="表8" displayName="表8" ref="A261:G320" totalsRowShown="0" headerRowDxfId="42" dataDxfId="40" headerRowBorderDxfId="41" tableBorderDxfId="39" totalsRowBorderDxfId="38">
  <autoFilter ref="A261:G320" xr:uid="{49E671E4-C134-41F9-AACA-8DCBA1C4CCBD}"/>
  <tableColumns count="7">
    <tableColumn id="1" xr3:uid="{2FAEB23B-6358-403C-8FA6-0FFF6A15D24D}" name="日期" dataDxfId="37"/>
    <tableColumn id="2" xr3:uid="{91F92761-4C06-4E9B-8EDB-535D7DB14377}" name="星期" dataDxfId="36"/>
    <tableColumn id="3" xr3:uid="{EC29CB5E-5400-4552-B6EE-EEB4588DEC23}" name="日合计" dataDxfId="35"/>
    <tableColumn id="4" xr3:uid="{5E021D7E-A2CF-409C-9E21-3A9246605AFB}" name="类型" dataDxfId="34"/>
    <tableColumn id="5" xr3:uid="{1FDE548F-D2BF-40EE-8B5E-4E692673E000}" name="DETAIL" dataDxfId="33"/>
    <tableColumn id="6" xr3:uid="{F953EEBA-F82D-46D5-B841-E80087BA390C}" name="支出" dataDxfId="32"/>
    <tableColumn id="7" xr3:uid="{5D4E90D6-4B92-4CDB-9E9B-F353DAECDD6E}" name="核验列" dataDxfId="31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D606CF-D823-40B4-86DD-90863D4879FA}" name="表2" displayName="表2" ref="A1:D66" totalsRowShown="0" headerRowDxfId="30" dataDxfId="28" headerRowBorderDxfId="29" tableBorderDxfId="27" totalsRowBorderDxfId="26">
  <autoFilter ref="A1:D66" xr:uid="{90D606CF-D823-40B4-86DD-90863D4879FA}"/>
  <tableColumns count="4">
    <tableColumn id="1" xr3:uid="{3C4A8DF6-A4D4-4D26-B0B0-8D2E2E9441D2}" name="日期" dataDxfId="25"/>
    <tableColumn id="2" xr3:uid="{C2B9CC61-82D9-4266-96EE-FBEF66FE6BFE}" name="星期" dataDxfId="24"/>
    <tableColumn id="3" xr3:uid="{0549C5B4-F8E7-4301-B73F-0C4D183D5D21}" name="DETAIL" dataDxfId="23"/>
    <tableColumn id="4" xr3:uid="{05489160-67FC-47D0-8B0B-115051AD690C}" name="EARNING" dataDxfId="2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273D1A-8C9C-4C64-B90A-AE559DF553BD}" name="表3" displayName="表3" ref="A1:G36" totalsRowShown="0" headerRowDxfId="21" dataDxfId="20">
  <autoFilter ref="A1:G36" xr:uid="{19273D1A-8C9C-4C64-B90A-AE559DF553BD}"/>
  <tableColumns count="7">
    <tableColumn id="1" xr3:uid="{CD8CBBB9-3B12-4E5C-8D46-A1556C276E05}" name="时间" dataDxfId="19"/>
    <tableColumn id="2" xr3:uid="{445C5F20-1280-4625-A812-8F80761B41B3}" name="微信号" dataDxfId="18"/>
    <tableColumn id="3" xr3:uid="{1C5776F5-9B5F-45CA-BCC4-215C2A531BE3}" name="运营商" dataDxfId="17"/>
    <tableColumn id="4" xr3:uid="{70EE669B-AA6D-4B10-970B-8F9F0EA87504}" name="补贴详细" dataDxfId="16"/>
    <tableColumn id="5" xr3:uid="{25119F04-4F15-442B-B8AA-EA3DEDBD65BA}" name="净收入情况" dataDxfId="15"/>
    <tableColumn id="6" xr3:uid="{16824EB2-EC7B-4B0C-9F1B-F18E0FD08F61}" name="列1" dataDxfId="14"/>
    <tableColumn id="7" xr3:uid="{9F7E7A1F-99F2-454D-8CB6-505371F04AAB}" name="列2" dataDxfId="13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701E91-FB53-4430-95D3-5351D9F7454F}" name="表4" displayName="表4" ref="A1:C37" totalsRowShown="0" headerRowDxfId="12" dataDxfId="11">
  <autoFilter ref="A1:C37" xr:uid="{AA701E91-FB53-4430-95D3-5351D9F7454F}"/>
  <tableColumns count="3">
    <tableColumn id="3" xr3:uid="{4ED88F29-BD53-4899-BEAC-E7762C1904E4}" name="日期" dataDxfId="10"/>
    <tableColumn id="1" xr3:uid="{E0AC2308-6A32-46B2-BB72-40A71F4B3771}" name="日常开销维持建议" dataDxfId="9"/>
    <tableColumn id="2" xr3:uid="{33836D72-B3C0-4D9D-A25D-AE4FB1B390C2}" name="费用" dataDxfId="8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B20CC6-84EA-43B7-9CE1-F26DAD0E794F}" name="表7_10" displayName="表7_10" ref="A41:C110" totalsRowShown="0" headerRowDxfId="7" dataDxfId="5" headerRowBorderDxfId="6" tableBorderDxfId="4" totalsRowBorderDxfId="3">
  <autoFilter ref="A41:C110" xr:uid="{20B20CC6-84EA-43B7-9CE1-F26DAD0E794F}"/>
  <tableColumns count="3">
    <tableColumn id="1" xr3:uid="{60C19CB1-41F8-4192-88DE-26C5D6D0B000}" name="日期" dataDxfId="2"/>
    <tableColumn id="2" xr3:uid="{2EDBCC2D-FF4F-4516-86EF-C088169D069B}" name="日常开销维持建议" dataDxfId="1"/>
    <tableColumn id="3" xr3:uid="{D9AF5199-97E5-4D4F-BC80-4A99BE18D09E}" name="费用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10" Type="http://schemas.openxmlformats.org/officeDocument/2006/relationships/table" Target="../tables/table4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Q503"/>
  <sheetViews>
    <sheetView tabSelected="1" topLeftCell="C286" zoomScale="85" zoomScaleNormal="85" workbookViewId="0">
      <selection activeCell="J19" sqref="J19"/>
    </sheetView>
  </sheetViews>
  <sheetFormatPr defaultRowHeight="13.9" x14ac:dyDescent="0.4"/>
  <cols>
    <col min="1" max="2" width="9.3984375" style="2" customWidth="1"/>
    <col min="3" max="3" width="15" style="106" customWidth="1"/>
    <col min="4" max="4" width="18.06640625" style="2" customWidth="1"/>
    <col min="5" max="5" width="70.796875" style="2" customWidth="1"/>
    <col min="6" max="6" width="20.19921875" style="106" customWidth="1"/>
    <col min="7" max="7" width="11.06640625" customWidth="1"/>
    <col min="8" max="8" width="37.9296875" customWidth="1"/>
    <col min="9" max="9" width="39.796875" customWidth="1"/>
    <col min="10" max="10" width="17.6640625" customWidth="1"/>
    <col min="11" max="11" width="16.9296875" customWidth="1"/>
    <col min="12" max="12" width="76.796875" customWidth="1"/>
    <col min="13" max="13" width="16.59765625" customWidth="1"/>
  </cols>
  <sheetData>
    <row r="1" spans="1:17" ht="48" customHeight="1" x14ac:dyDescent="0.4">
      <c r="A1" s="43" t="s">
        <v>52</v>
      </c>
      <c r="B1" s="44" t="s">
        <v>53</v>
      </c>
      <c r="C1" s="45" t="s">
        <v>69</v>
      </c>
      <c r="D1" s="44" t="s">
        <v>64</v>
      </c>
      <c r="E1" s="44" t="s">
        <v>54</v>
      </c>
      <c r="F1" s="101" t="s">
        <v>55</v>
      </c>
      <c r="G1" s="1"/>
      <c r="H1" s="133" t="s">
        <v>267</v>
      </c>
      <c r="I1" s="134"/>
      <c r="N1" s="1"/>
      <c r="O1" s="1"/>
      <c r="P1" s="1"/>
      <c r="Q1" s="1"/>
    </row>
    <row r="2" spans="1:17" ht="21.75" customHeight="1" x14ac:dyDescent="0.4">
      <c r="A2" s="40" t="s">
        <v>160</v>
      </c>
      <c r="B2" s="15"/>
      <c r="C2" s="29">
        <f>SUM(F3:F112)</f>
        <v>2798.7299999999996</v>
      </c>
      <c r="D2" s="16"/>
      <c r="E2" s="15"/>
      <c r="F2" s="42"/>
      <c r="G2" s="1"/>
      <c r="H2" s="135" t="s">
        <v>208</v>
      </c>
      <c r="I2" s="136"/>
      <c r="N2" s="1"/>
      <c r="O2" s="1"/>
      <c r="P2" s="1"/>
      <c r="Q2" s="1"/>
    </row>
    <row r="3" spans="1:17" x14ac:dyDescent="0.4">
      <c r="A3" s="20">
        <v>45171</v>
      </c>
      <c r="B3" s="10" t="s">
        <v>0</v>
      </c>
      <c r="C3" s="30">
        <f>SUM(F3:F15)</f>
        <v>553.84</v>
      </c>
      <c r="D3" s="10" t="s">
        <v>150</v>
      </c>
      <c r="E3" s="11" t="s">
        <v>1</v>
      </c>
      <c r="F3" s="47">
        <v>4.8899999999999997</v>
      </c>
      <c r="H3" s="85"/>
      <c r="I3" s="86"/>
      <c r="N3" s="1"/>
      <c r="O3" s="1"/>
      <c r="P3" s="1"/>
      <c r="Q3" s="1"/>
    </row>
    <row r="4" spans="1:17" x14ac:dyDescent="0.4">
      <c r="A4" s="21"/>
      <c r="B4" s="12"/>
      <c r="C4" s="28"/>
      <c r="D4" s="11" t="s">
        <v>150</v>
      </c>
      <c r="E4" s="11" t="s">
        <v>1</v>
      </c>
      <c r="F4" s="47">
        <v>2.68</v>
      </c>
      <c r="H4" s="82" t="s">
        <v>211</v>
      </c>
      <c r="I4" s="83" t="s">
        <v>212</v>
      </c>
      <c r="N4" s="1"/>
      <c r="O4" s="1"/>
      <c r="P4" s="1"/>
      <c r="Q4" s="1"/>
    </row>
    <row r="5" spans="1:17" x14ac:dyDescent="0.4">
      <c r="A5" s="21"/>
      <c r="B5" s="10"/>
      <c r="C5" s="30"/>
      <c r="D5" s="11" t="s">
        <v>115</v>
      </c>
      <c r="E5" s="14" t="s">
        <v>2</v>
      </c>
      <c r="F5" s="48">
        <v>27.68</v>
      </c>
      <c r="H5" s="83" t="s">
        <v>213</v>
      </c>
      <c r="I5" s="83">
        <v>664</v>
      </c>
      <c r="N5" s="1"/>
      <c r="O5" s="1"/>
      <c r="P5" s="1"/>
      <c r="Q5" s="1"/>
    </row>
    <row r="6" spans="1:17" x14ac:dyDescent="0.4">
      <c r="A6" s="21"/>
      <c r="B6" s="10"/>
      <c r="C6" s="30"/>
      <c r="D6" s="11" t="s">
        <v>115</v>
      </c>
      <c r="E6" s="76" t="s">
        <v>4</v>
      </c>
      <c r="F6" s="48">
        <v>10.93</v>
      </c>
      <c r="H6" s="83" t="s">
        <v>214</v>
      </c>
      <c r="I6" s="83">
        <v>42.07</v>
      </c>
      <c r="J6" t="s">
        <v>369</v>
      </c>
      <c r="K6" t="s">
        <v>370</v>
      </c>
      <c r="N6" s="1"/>
      <c r="O6" s="1"/>
      <c r="P6" s="1"/>
      <c r="Q6" s="1"/>
    </row>
    <row r="7" spans="1:17" x14ac:dyDescent="0.4">
      <c r="A7" s="21"/>
      <c r="B7" s="10"/>
      <c r="C7" s="30"/>
      <c r="D7" s="11" t="s">
        <v>115</v>
      </c>
      <c r="E7" s="76" t="s">
        <v>5</v>
      </c>
      <c r="F7" s="48">
        <v>32</v>
      </c>
      <c r="G7" s="1"/>
      <c r="H7" s="83" t="s">
        <v>116</v>
      </c>
      <c r="I7" s="83">
        <v>1008.12</v>
      </c>
      <c r="J7">
        <v>9</v>
      </c>
      <c r="K7">
        <v>2798.73</v>
      </c>
      <c r="N7" s="1"/>
      <c r="O7" s="1"/>
      <c r="P7" s="1"/>
      <c r="Q7" s="1"/>
    </row>
    <row r="8" spans="1:17" x14ac:dyDescent="0.4">
      <c r="A8" s="21"/>
      <c r="B8" s="10"/>
      <c r="C8" s="30"/>
      <c r="D8" s="11" t="s">
        <v>115</v>
      </c>
      <c r="E8" s="76" t="s">
        <v>6</v>
      </c>
      <c r="F8" s="48">
        <v>19.899999999999999</v>
      </c>
      <c r="G8" s="1"/>
      <c r="H8" s="83" t="s">
        <v>121</v>
      </c>
      <c r="I8" s="83">
        <v>520.79</v>
      </c>
      <c r="J8">
        <v>10</v>
      </c>
      <c r="K8">
        <v>1771.24</v>
      </c>
      <c r="N8" s="1"/>
      <c r="O8" s="1"/>
      <c r="P8" s="1"/>
      <c r="Q8" s="1"/>
    </row>
    <row r="9" spans="1:17" x14ac:dyDescent="0.4">
      <c r="A9" s="21"/>
      <c r="B9" s="10"/>
      <c r="C9" s="30"/>
      <c r="D9" s="11" t="s">
        <v>116</v>
      </c>
      <c r="E9" s="76" t="s">
        <v>7</v>
      </c>
      <c r="F9" s="48">
        <v>19.760000000000002</v>
      </c>
      <c r="G9" s="1"/>
      <c r="H9" s="83" t="s">
        <v>215</v>
      </c>
      <c r="I9" s="83">
        <v>32.54</v>
      </c>
      <c r="J9">
        <v>11</v>
      </c>
      <c r="K9">
        <v>1532.4399999999998</v>
      </c>
      <c r="N9" s="1"/>
      <c r="O9" s="1"/>
      <c r="P9" s="1"/>
      <c r="Q9" s="1"/>
    </row>
    <row r="10" spans="1:17" x14ac:dyDescent="0.4">
      <c r="A10" s="21"/>
      <c r="B10" s="10"/>
      <c r="C10" s="30"/>
      <c r="D10" s="11" t="s">
        <v>116</v>
      </c>
      <c r="E10" s="76" t="s">
        <v>8</v>
      </c>
      <c r="F10" s="48">
        <v>39</v>
      </c>
      <c r="G10" s="1"/>
      <c r="H10" s="83" t="s">
        <v>114</v>
      </c>
      <c r="I10" s="83">
        <v>531.21</v>
      </c>
      <c r="J10">
        <v>12</v>
      </c>
      <c r="K10">
        <v>1753.07</v>
      </c>
      <c r="N10" s="1"/>
      <c r="O10" s="1"/>
      <c r="P10" s="1"/>
      <c r="Q10" s="1"/>
    </row>
    <row r="11" spans="1:17" x14ac:dyDescent="0.4">
      <c r="A11" s="21"/>
      <c r="B11" s="10"/>
      <c r="C11" s="30"/>
      <c r="D11" s="11" t="s">
        <v>116</v>
      </c>
      <c r="E11" s="76" t="s">
        <v>9</v>
      </c>
      <c r="F11" s="48">
        <v>10</v>
      </c>
      <c r="G11" s="1"/>
      <c r="H11" s="83" t="s">
        <v>216</v>
      </c>
      <c r="I11" s="83"/>
      <c r="N11" s="1"/>
      <c r="O11" s="1"/>
      <c r="P11" s="1"/>
      <c r="Q11" s="1"/>
    </row>
    <row r="12" spans="1:17" x14ac:dyDescent="0.4">
      <c r="A12" s="21"/>
      <c r="B12" s="10"/>
      <c r="C12" s="30"/>
      <c r="D12" s="11" t="s">
        <v>116</v>
      </c>
      <c r="E12" s="76" t="s">
        <v>10</v>
      </c>
      <c r="F12" s="48">
        <v>135</v>
      </c>
      <c r="G12" s="1"/>
      <c r="H12" s="83" t="s">
        <v>217</v>
      </c>
      <c r="I12" s="83">
        <f>SUM(I5:I10)</f>
        <v>2798.73</v>
      </c>
      <c r="N12" s="1"/>
      <c r="O12" s="1"/>
      <c r="P12" s="1"/>
      <c r="Q12" s="1"/>
    </row>
    <row r="13" spans="1:17" x14ac:dyDescent="0.4">
      <c r="A13" s="21"/>
      <c r="B13" s="10"/>
      <c r="C13" s="30"/>
      <c r="D13" s="13" t="s">
        <v>116</v>
      </c>
      <c r="E13" s="66" t="s">
        <v>126</v>
      </c>
      <c r="F13" s="77">
        <v>30</v>
      </c>
      <c r="G13" s="1"/>
      <c r="H13" s="79"/>
      <c r="I13" s="80"/>
      <c r="N13" s="1"/>
      <c r="O13" s="1"/>
      <c r="P13" s="1"/>
      <c r="Q13" s="1"/>
    </row>
    <row r="14" spans="1:17" x14ac:dyDescent="0.4">
      <c r="A14" s="21"/>
      <c r="B14" s="10"/>
      <c r="C14" s="30"/>
      <c r="D14" s="11" t="s">
        <v>33</v>
      </c>
      <c r="E14" s="76" t="s">
        <v>11</v>
      </c>
      <c r="F14" s="48">
        <v>12</v>
      </c>
      <c r="H14" s="79"/>
      <c r="I14" s="80"/>
      <c r="N14" s="1"/>
      <c r="O14" s="1"/>
      <c r="P14" s="1"/>
      <c r="Q14" s="1"/>
    </row>
    <row r="15" spans="1:17" x14ac:dyDescent="0.4">
      <c r="A15" s="21"/>
      <c r="B15" s="10"/>
      <c r="C15" s="30"/>
      <c r="D15" s="11" t="s">
        <v>116</v>
      </c>
      <c r="E15" s="76" t="s">
        <v>148</v>
      </c>
      <c r="F15" s="48">
        <v>210</v>
      </c>
      <c r="G15" s="1"/>
      <c r="H15" s="79"/>
      <c r="I15" s="80"/>
      <c r="N15" s="1"/>
      <c r="O15" s="1"/>
      <c r="P15" s="1"/>
      <c r="Q15" s="1"/>
    </row>
    <row r="16" spans="1:17" x14ac:dyDescent="0.4">
      <c r="A16" s="20">
        <v>45172</v>
      </c>
      <c r="B16" s="10" t="s">
        <v>12</v>
      </c>
      <c r="C16" s="30">
        <f>SUM(F16:F22)</f>
        <v>153.25</v>
      </c>
      <c r="D16" s="11" t="s">
        <v>33</v>
      </c>
      <c r="E16" s="11" t="s">
        <v>13</v>
      </c>
      <c r="F16" s="47">
        <v>7</v>
      </c>
      <c r="G16" s="1"/>
      <c r="H16" s="79"/>
      <c r="I16" s="80"/>
      <c r="N16" s="1"/>
      <c r="O16" s="1"/>
      <c r="P16" s="1"/>
      <c r="Q16" s="1"/>
    </row>
    <row r="17" spans="1:17" x14ac:dyDescent="0.4">
      <c r="A17" s="21"/>
      <c r="B17" s="12"/>
      <c r="C17" s="28"/>
      <c r="D17" s="11" t="s">
        <v>150</v>
      </c>
      <c r="E17" s="11" t="s">
        <v>14</v>
      </c>
      <c r="F17" s="47">
        <v>10.5</v>
      </c>
      <c r="G17" s="1"/>
      <c r="H17" s="79"/>
      <c r="I17" s="80"/>
      <c r="N17" s="1"/>
      <c r="O17" s="1"/>
      <c r="P17" s="1"/>
      <c r="Q17" s="1"/>
    </row>
    <row r="18" spans="1:17" x14ac:dyDescent="0.4">
      <c r="A18" s="21"/>
      <c r="B18" s="10"/>
      <c r="C18" s="30"/>
      <c r="D18" s="11" t="s">
        <v>33</v>
      </c>
      <c r="E18" s="11" t="s">
        <v>15</v>
      </c>
      <c r="F18" s="47">
        <v>12</v>
      </c>
      <c r="G18" s="1"/>
      <c r="H18" s="79"/>
      <c r="I18" s="80"/>
      <c r="N18" s="1"/>
      <c r="O18" s="1"/>
      <c r="P18" s="1"/>
      <c r="Q18" s="1"/>
    </row>
    <row r="19" spans="1:17" x14ac:dyDescent="0.4">
      <c r="A19" s="21"/>
      <c r="B19" s="10"/>
      <c r="C19" s="30"/>
      <c r="D19" s="11" t="s">
        <v>116</v>
      </c>
      <c r="E19" s="10" t="s">
        <v>16</v>
      </c>
      <c r="F19" s="47">
        <v>24.75</v>
      </c>
      <c r="G19" s="1"/>
      <c r="H19" s="79"/>
      <c r="I19" s="80"/>
      <c r="N19" s="1"/>
      <c r="O19" s="1"/>
      <c r="P19" s="1"/>
      <c r="Q19" s="1"/>
    </row>
    <row r="20" spans="1:17" x14ac:dyDescent="0.4">
      <c r="A20" s="21"/>
      <c r="B20" s="10"/>
      <c r="C20" s="30"/>
      <c r="D20" s="11" t="s">
        <v>33</v>
      </c>
      <c r="E20" s="11" t="s">
        <v>11</v>
      </c>
      <c r="F20" s="47">
        <v>12</v>
      </c>
      <c r="G20" s="1"/>
      <c r="H20" s="79"/>
      <c r="I20" s="80"/>
      <c r="N20" s="1"/>
      <c r="O20" s="1"/>
      <c r="P20" s="1"/>
      <c r="Q20" s="1"/>
    </row>
    <row r="21" spans="1:17" x14ac:dyDescent="0.4">
      <c r="A21" s="21"/>
      <c r="B21" s="10"/>
      <c r="C21" s="30"/>
      <c r="D21" s="11" t="s">
        <v>116</v>
      </c>
      <c r="E21" s="11" t="s">
        <v>17</v>
      </c>
      <c r="F21" s="47">
        <v>11.5</v>
      </c>
      <c r="H21" s="79"/>
      <c r="I21" s="80"/>
      <c r="N21" s="1"/>
      <c r="O21" s="1"/>
      <c r="P21" s="1"/>
      <c r="Q21" s="1"/>
    </row>
    <row r="22" spans="1:17" x14ac:dyDescent="0.4">
      <c r="A22" s="21"/>
      <c r="B22" s="10"/>
      <c r="C22" s="30"/>
      <c r="D22" s="11" t="s">
        <v>116</v>
      </c>
      <c r="E22" s="10" t="s">
        <v>18</v>
      </c>
      <c r="F22" s="47">
        <v>75.5</v>
      </c>
      <c r="G22" s="1"/>
      <c r="H22" s="79"/>
      <c r="I22" s="80"/>
      <c r="N22" s="1"/>
      <c r="O22" s="1"/>
      <c r="P22" s="1"/>
      <c r="Q22" s="1"/>
    </row>
    <row r="23" spans="1:17" x14ac:dyDescent="0.4">
      <c r="A23" s="20">
        <v>45173</v>
      </c>
      <c r="B23" s="10" t="s">
        <v>3</v>
      </c>
      <c r="C23" s="30">
        <f>F23+F24+F25+F27+F28+F29+F30</f>
        <v>198.25</v>
      </c>
      <c r="D23" s="11" t="s">
        <v>33</v>
      </c>
      <c r="E23" s="11" t="s">
        <v>19</v>
      </c>
      <c r="F23" s="47">
        <v>4</v>
      </c>
      <c r="G23" s="1"/>
      <c r="H23" s="79"/>
      <c r="I23" s="80"/>
      <c r="N23" s="1"/>
      <c r="O23" s="1"/>
      <c r="P23" s="1"/>
      <c r="Q23" s="1"/>
    </row>
    <row r="24" spans="1:17" x14ac:dyDescent="0.4">
      <c r="A24" s="22"/>
      <c r="B24" s="12"/>
      <c r="C24" s="31"/>
      <c r="D24" s="11" t="s">
        <v>121</v>
      </c>
      <c r="E24" s="10" t="s">
        <v>167</v>
      </c>
      <c r="F24" s="47">
        <v>85</v>
      </c>
      <c r="H24" s="79"/>
      <c r="I24" s="80"/>
      <c r="N24" s="1"/>
      <c r="O24" s="1"/>
      <c r="P24" s="1"/>
      <c r="Q24" s="1"/>
    </row>
    <row r="25" spans="1:17" x14ac:dyDescent="0.4">
      <c r="A25" s="22"/>
      <c r="B25" s="12"/>
      <c r="C25" s="32"/>
      <c r="D25" s="11" t="s">
        <v>116</v>
      </c>
      <c r="E25" s="11" t="s">
        <v>20</v>
      </c>
      <c r="F25" s="47">
        <v>20</v>
      </c>
      <c r="H25" s="79"/>
      <c r="I25" s="80"/>
      <c r="N25" s="1"/>
      <c r="O25" s="1"/>
      <c r="P25" s="1"/>
      <c r="Q25" s="1"/>
    </row>
    <row r="26" spans="1:17" x14ac:dyDescent="0.4">
      <c r="A26" s="21"/>
      <c r="B26" s="12"/>
      <c r="C26" s="30"/>
      <c r="D26" s="11" t="s">
        <v>121</v>
      </c>
      <c r="E26" s="10" t="s">
        <v>166</v>
      </c>
      <c r="F26" s="47">
        <v>0</v>
      </c>
      <c r="G26" s="1"/>
      <c r="H26" s="79"/>
      <c r="I26" s="80"/>
      <c r="N26" s="1"/>
      <c r="O26" s="1"/>
      <c r="P26" s="1"/>
      <c r="Q26" s="1"/>
    </row>
    <row r="27" spans="1:17" x14ac:dyDescent="0.4">
      <c r="A27" s="21"/>
      <c r="B27" s="10"/>
      <c r="C27" s="30"/>
      <c r="D27" s="11" t="s">
        <v>33</v>
      </c>
      <c r="E27" s="11" t="s">
        <v>21</v>
      </c>
      <c r="F27" s="47">
        <v>15</v>
      </c>
      <c r="G27" s="1"/>
      <c r="H27" s="79"/>
      <c r="I27" s="80"/>
      <c r="N27" s="1"/>
      <c r="O27" s="1"/>
      <c r="P27" s="1"/>
      <c r="Q27" s="1"/>
    </row>
    <row r="28" spans="1:17" x14ac:dyDescent="0.4">
      <c r="A28" s="21"/>
      <c r="B28" s="10"/>
      <c r="C28" s="30"/>
      <c r="D28" s="11" t="s">
        <v>116</v>
      </c>
      <c r="E28" s="10" t="s">
        <v>37</v>
      </c>
      <c r="F28" s="47">
        <v>2.25</v>
      </c>
      <c r="G28" s="1"/>
      <c r="H28" s="79"/>
      <c r="I28" s="80"/>
      <c r="N28" s="1"/>
      <c r="O28" s="1"/>
      <c r="P28" s="1"/>
      <c r="Q28" s="1"/>
    </row>
    <row r="29" spans="1:17" ht="12" customHeight="1" x14ac:dyDescent="0.4">
      <c r="A29" s="21"/>
      <c r="B29" s="10"/>
      <c r="C29" s="30"/>
      <c r="D29" s="13" t="s">
        <v>116</v>
      </c>
      <c r="E29" s="13" t="s">
        <v>35</v>
      </c>
      <c r="F29" s="78">
        <v>60</v>
      </c>
      <c r="G29" s="1"/>
      <c r="H29" s="79"/>
      <c r="I29" s="80"/>
      <c r="N29" s="1"/>
      <c r="O29" s="1"/>
      <c r="P29" s="1"/>
      <c r="Q29" s="1"/>
    </row>
    <row r="30" spans="1:17" x14ac:dyDescent="0.4">
      <c r="A30" s="21"/>
      <c r="B30" s="10"/>
      <c r="C30" s="30"/>
      <c r="D30" s="11" t="s">
        <v>33</v>
      </c>
      <c r="E30" s="11" t="s">
        <v>22</v>
      </c>
      <c r="F30" s="47">
        <v>12</v>
      </c>
      <c r="G30" s="1"/>
      <c r="H30" s="137" t="s">
        <v>268</v>
      </c>
      <c r="I30" s="138"/>
      <c r="N30" s="1"/>
      <c r="O30" s="1"/>
      <c r="P30" s="1"/>
      <c r="Q30" s="1"/>
    </row>
    <row r="31" spans="1:17" x14ac:dyDescent="0.4">
      <c r="A31" s="20">
        <v>45174</v>
      </c>
      <c r="B31" s="10" t="s">
        <v>23</v>
      </c>
      <c r="C31" s="30">
        <f>SUM(F31:F35)</f>
        <v>67.44</v>
      </c>
      <c r="D31" s="11" t="s">
        <v>33</v>
      </c>
      <c r="E31" s="11" t="s">
        <v>24</v>
      </c>
      <c r="F31" s="47">
        <v>4</v>
      </c>
      <c r="G31" s="1"/>
      <c r="H31" s="139"/>
      <c r="I31" s="140"/>
      <c r="N31" s="1"/>
      <c r="O31" s="1"/>
      <c r="P31" s="1"/>
      <c r="Q31" s="1"/>
    </row>
    <row r="32" spans="1:17" x14ac:dyDescent="0.4">
      <c r="A32" s="21"/>
      <c r="B32" s="12"/>
      <c r="C32" s="30"/>
      <c r="D32" s="11" t="s">
        <v>33</v>
      </c>
      <c r="E32" s="11" t="s">
        <v>27</v>
      </c>
      <c r="F32" s="47">
        <v>12</v>
      </c>
      <c r="G32" s="1"/>
      <c r="H32" s="139"/>
      <c r="I32" s="140"/>
      <c r="N32" s="1"/>
      <c r="O32" s="1"/>
      <c r="P32" s="1"/>
      <c r="Q32" s="1"/>
    </row>
    <row r="33" spans="1:17" x14ac:dyDescent="0.4">
      <c r="A33" s="21"/>
      <c r="B33" s="10"/>
      <c r="C33" s="30"/>
      <c r="D33" s="11" t="s">
        <v>33</v>
      </c>
      <c r="E33" s="11" t="s">
        <v>28</v>
      </c>
      <c r="F33" s="47">
        <v>12</v>
      </c>
      <c r="G33" s="1"/>
      <c r="H33" s="139"/>
      <c r="I33" s="140"/>
      <c r="N33" s="1"/>
      <c r="O33" s="1"/>
      <c r="P33" s="1"/>
      <c r="Q33" s="1"/>
    </row>
    <row r="34" spans="1:17" x14ac:dyDescent="0.4">
      <c r="A34" s="21"/>
      <c r="B34" s="10"/>
      <c r="C34" s="30"/>
      <c r="D34" s="11" t="s">
        <v>116</v>
      </c>
      <c r="E34" s="10" t="s">
        <v>36</v>
      </c>
      <c r="F34" s="47">
        <v>6.9</v>
      </c>
      <c r="G34" s="1"/>
      <c r="H34" s="139"/>
      <c r="I34" s="140"/>
      <c r="N34" s="1"/>
      <c r="O34" s="1"/>
      <c r="P34" s="1"/>
      <c r="Q34" s="1"/>
    </row>
    <row r="35" spans="1:17" x14ac:dyDescent="0.4">
      <c r="A35" s="21"/>
      <c r="B35" s="10"/>
      <c r="C35" s="30"/>
      <c r="D35" s="11" t="s">
        <v>128</v>
      </c>
      <c r="E35" s="11" t="s">
        <v>29</v>
      </c>
      <c r="F35" s="47">
        <v>32.54</v>
      </c>
      <c r="G35" s="1"/>
      <c r="H35" s="139"/>
      <c r="I35" s="140"/>
      <c r="N35" s="1"/>
      <c r="O35" s="1"/>
      <c r="P35" s="1"/>
      <c r="Q35" s="1"/>
    </row>
    <row r="36" spans="1:17" x14ac:dyDescent="0.4">
      <c r="A36" s="21"/>
      <c r="B36" s="10"/>
      <c r="C36" s="30"/>
      <c r="D36" s="11" t="s">
        <v>121</v>
      </c>
      <c r="E36" s="10" t="s">
        <v>122</v>
      </c>
      <c r="F36" s="47">
        <v>0</v>
      </c>
      <c r="G36" s="1"/>
      <c r="H36" s="139"/>
      <c r="I36" s="140"/>
      <c r="N36" s="1"/>
      <c r="O36" s="1"/>
      <c r="P36" s="1"/>
      <c r="Q36" s="1"/>
    </row>
    <row r="37" spans="1:17" x14ac:dyDescent="0.4">
      <c r="A37" s="20">
        <v>45175</v>
      </c>
      <c r="B37" s="10" t="s">
        <v>30</v>
      </c>
      <c r="C37" s="30">
        <f>SUM(F38:F39)</f>
        <v>261</v>
      </c>
      <c r="D37" s="10" t="s">
        <v>116</v>
      </c>
      <c r="E37" s="10" t="s">
        <v>31</v>
      </c>
      <c r="F37" s="47">
        <v>0</v>
      </c>
      <c r="G37" s="1"/>
      <c r="H37" s="139"/>
      <c r="I37" s="140"/>
      <c r="N37" s="1"/>
      <c r="O37" s="1"/>
      <c r="P37" s="1"/>
      <c r="Q37" s="1"/>
    </row>
    <row r="38" spans="1:17" x14ac:dyDescent="0.4">
      <c r="A38" s="21"/>
      <c r="B38" s="12"/>
      <c r="C38" s="30"/>
      <c r="D38" s="11" t="s">
        <v>116</v>
      </c>
      <c r="E38" s="11" t="s">
        <v>32</v>
      </c>
      <c r="F38" s="47">
        <v>233</v>
      </c>
      <c r="G38" s="1"/>
      <c r="H38" s="139"/>
      <c r="I38" s="140"/>
      <c r="N38" s="1"/>
      <c r="O38" s="1"/>
      <c r="P38" s="1"/>
      <c r="Q38" s="1"/>
    </row>
    <row r="39" spans="1:17" x14ac:dyDescent="0.4">
      <c r="A39" s="21"/>
      <c r="B39" s="10"/>
      <c r="C39" s="30"/>
      <c r="D39" s="11" t="s">
        <v>33</v>
      </c>
      <c r="E39" s="11" t="s">
        <v>33</v>
      </c>
      <c r="F39" s="47">
        <v>28</v>
      </c>
      <c r="G39" s="1"/>
      <c r="H39" s="141"/>
      <c r="I39" s="142"/>
      <c r="N39" s="1"/>
      <c r="O39" s="1"/>
      <c r="P39" s="1"/>
      <c r="Q39" s="1"/>
    </row>
    <row r="40" spans="1:17" x14ac:dyDescent="0.4">
      <c r="A40" s="20">
        <v>45176</v>
      </c>
      <c r="B40" s="10" t="s">
        <v>34</v>
      </c>
      <c r="C40" s="30">
        <f>SUM(F40:F42)</f>
        <v>70.25</v>
      </c>
      <c r="D40" s="11" t="s">
        <v>33</v>
      </c>
      <c r="E40" s="11" t="s">
        <v>33</v>
      </c>
      <c r="F40" s="47">
        <v>28</v>
      </c>
      <c r="G40" s="1"/>
      <c r="H40" s="79"/>
      <c r="I40" s="80"/>
      <c r="N40" s="1"/>
      <c r="O40" s="1"/>
      <c r="P40" s="1"/>
      <c r="Q40" s="1"/>
    </row>
    <row r="41" spans="1:17" x14ac:dyDescent="0.4">
      <c r="A41" s="21"/>
      <c r="B41" s="12"/>
      <c r="C41" s="30"/>
      <c r="D41" s="11" t="s">
        <v>116</v>
      </c>
      <c r="E41" s="10" t="s">
        <v>37</v>
      </c>
      <c r="F41" s="47">
        <v>2.25</v>
      </c>
      <c r="G41" s="1"/>
      <c r="H41" s="79"/>
      <c r="I41" s="80"/>
      <c r="N41" s="1"/>
      <c r="O41" s="1"/>
      <c r="P41" s="1"/>
      <c r="Q41" s="1"/>
    </row>
    <row r="42" spans="1:17" x14ac:dyDescent="0.4">
      <c r="A42" s="21"/>
      <c r="B42" s="10"/>
      <c r="C42" s="30"/>
      <c r="D42" s="11" t="s">
        <v>121</v>
      </c>
      <c r="E42" s="10" t="s">
        <v>123</v>
      </c>
      <c r="F42" s="47">
        <v>40</v>
      </c>
      <c r="G42" s="1"/>
      <c r="H42" s="79"/>
      <c r="I42" s="80"/>
      <c r="N42" s="1"/>
      <c r="O42" s="1"/>
      <c r="P42" s="1"/>
      <c r="Q42" s="1"/>
    </row>
    <row r="43" spans="1:17" x14ac:dyDescent="0.4">
      <c r="A43" s="21"/>
      <c r="B43" s="10"/>
      <c r="C43" s="30"/>
      <c r="D43" s="11" t="s">
        <v>116</v>
      </c>
      <c r="E43" s="11" t="s">
        <v>59</v>
      </c>
      <c r="F43" s="47">
        <v>0.5</v>
      </c>
      <c r="G43" s="1"/>
      <c r="H43" s="79"/>
      <c r="I43" s="80"/>
      <c r="N43" s="1"/>
      <c r="O43" s="1"/>
      <c r="P43" s="1"/>
      <c r="Q43" s="1"/>
    </row>
    <row r="44" spans="1:17" x14ac:dyDescent="0.4">
      <c r="A44" s="20">
        <v>45177</v>
      </c>
      <c r="B44" s="10" t="s">
        <v>61</v>
      </c>
      <c r="C44" s="30">
        <f>SUM(F44:F47)</f>
        <v>109</v>
      </c>
      <c r="D44" s="10" t="s">
        <v>114</v>
      </c>
      <c r="E44" s="11" t="s">
        <v>125</v>
      </c>
      <c r="F44" s="47">
        <v>35</v>
      </c>
      <c r="G44" s="1"/>
      <c r="H44" s="79"/>
      <c r="I44" s="80"/>
      <c r="N44" s="1"/>
      <c r="O44" s="1"/>
      <c r="P44" s="1"/>
      <c r="Q44" s="1"/>
    </row>
    <row r="45" spans="1:17" x14ac:dyDescent="0.4">
      <c r="A45" s="21"/>
      <c r="B45" s="10"/>
      <c r="C45" s="30"/>
      <c r="D45" s="10" t="s">
        <v>114</v>
      </c>
      <c r="E45" s="11" t="s">
        <v>78</v>
      </c>
      <c r="F45" s="47">
        <v>35</v>
      </c>
      <c r="G45" s="1"/>
      <c r="H45" s="79"/>
      <c r="I45" s="80"/>
      <c r="N45" s="1"/>
      <c r="O45" s="1"/>
      <c r="P45" s="1"/>
      <c r="Q45" s="1"/>
    </row>
    <row r="46" spans="1:17" x14ac:dyDescent="0.4">
      <c r="A46" s="21"/>
      <c r="B46" s="10"/>
      <c r="C46" s="30"/>
      <c r="D46" s="11" t="s">
        <v>33</v>
      </c>
      <c r="E46" s="11" t="s">
        <v>62</v>
      </c>
      <c r="F46" s="47">
        <v>27</v>
      </c>
      <c r="G46" s="1"/>
      <c r="H46" s="79"/>
      <c r="I46" s="80"/>
      <c r="N46" s="1"/>
      <c r="O46" s="1"/>
      <c r="P46" s="1"/>
      <c r="Q46" s="1"/>
    </row>
    <row r="47" spans="1:17" x14ac:dyDescent="0.4">
      <c r="A47" s="21"/>
      <c r="B47" s="10"/>
      <c r="C47" s="30"/>
      <c r="D47" s="11" t="s">
        <v>150</v>
      </c>
      <c r="E47" s="11" t="s">
        <v>63</v>
      </c>
      <c r="F47" s="47">
        <v>12</v>
      </c>
      <c r="G47" s="1"/>
      <c r="H47" s="79"/>
      <c r="I47" s="80"/>
      <c r="N47" s="1"/>
      <c r="O47" s="1"/>
      <c r="P47" s="1"/>
      <c r="Q47" s="1"/>
    </row>
    <row r="48" spans="1:17" x14ac:dyDescent="0.4">
      <c r="A48" s="20">
        <v>45178</v>
      </c>
      <c r="B48" s="10" t="s">
        <v>65</v>
      </c>
      <c r="C48" s="30">
        <f>SUM(F50:F65)</f>
        <v>328.90000000000003</v>
      </c>
      <c r="D48" s="11" t="s">
        <v>116</v>
      </c>
      <c r="E48" s="10" t="s">
        <v>162</v>
      </c>
      <c r="F48" s="47">
        <v>0</v>
      </c>
      <c r="G48" s="1"/>
      <c r="H48" s="79"/>
      <c r="I48" s="80"/>
      <c r="N48" s="1"/>
      <c r="O48" s="1"/>
      <c r="P48" s="1"/>
      <c r="Q48" s="1"/>
    </row>
    <row r="49" spans="1:17" x14ac:dyDescent="0.4">
      <c r="A49" s="21"/>
      <c r="B49" s="10"/>
      <c r="C49" s="30"/>
      <c r="D49" s="11" t="s">
        <v>116</v>
      </c>
      <c r="E49" s="11" t="s">
        <v>163</v>
      </c>
      <c r="F49" s="47">
        <v>0</v>
      </c>
      <c r="G49" s="1"/>
      <c r="H49" s="79"/>
      <c r="I49" s="80"/>
      <c r="N49" s="1"/>
      <c r="O49" s="1"/>
      <c r="P49" s="1"/>
      <c r="Q49" s="1"/>
    </row>
    <row r="50" spans="1:17" x14ac:dyDescent="0.4">
      <c r="A50" s="22"/>
      <c r="B50" s="12"/>
      <c r="C50" s="28"/>
      <c r="D50" s="11" t="s">
        <v>116</v>
      </c>
      <c r="E50" s="14" t="s">
        <v>66</v>
      </c>
      <c r="F50" s="48">
        <v>2</v>
      </c>
      <c r="G50" s="1"/>
      <c r="H50" s="79"/>
      <c r="I50" s="80"/>
      <c r="N50" s="1"/>
      <c r="O50" s="1"/>
      <c r="P50" s="1"/>
      <c r="Q50" s="1"/>
    </row>
    <row r="51" spans="1:17" x14ac:dyDescent="0.4">
      <c r="A51" s="22"/>
      <c r="B51" s="12"/>
      <c r="C51" s="28"/>
      <c r="D51" s="11" t="s">
        <v>116</v>
      </c>
      <c r="E51" s="14" t="s">
        <v>67</v>
      </c>
      <c r="F51" s="48">
        <v>8</v>
      </c>
      <c r="G51" s="1"/>
      <c r="H51" s="79"/>
      <c r="I51" s="80"/>
      <c r="N51" s="1"/>
      <c r="O51" s="1"/>
      <c r="P51" s="1"/>
      <c r="Q51" s="1"/>
    </row>
    <row r="52" spans="1:17" x14ac:dyDescent="0.4">
      <c r="A52" s="22"/>
      <c r="B52" s="12"/>
      <c r="C52" s="28"/>
      <c r="D52" s="11" t="s">
        <v>116</v>
      </c>
      <c r="E52" s="14" t="s">
        <v>70</v>
      </c>
      <c r="F52" s="48">
        <v>10</v>
      </c>
      <c r="G52" s="1"/>
      <c r="H52" s="79"/>
      <c r="I52" s="80"/>
      <c r="N52" s="1"/>
      <c r="O52" s="1"/>
      <c r="P52" s="1"/>
      <c r="Q52" s="1"/>
    </row>
    <row r="53" spans="1:17" x14ac:dyDescent="0.4">
      <c r="A53" s="22"/>
      <c r="B53" s="12"/>
      <c r="C53" s="28"/>
      <c r="D53" s="11" t="s">
        <v>116</v>
      </c>
      <c r="E53" s="14" t="s">
        <v>116</v>
      </c>
      <c r="F53" s="48">
        <v>10</v>
      </c>
      <c r="H53" s="79"/>
      <c r="I53" s="80"/>
    </row>
    <row r="54" spans="1:17" x14ac:dyDescent="0.4">
      <c r="A54" s="22"/>
      <c r="B54" s="12"/>
      <c r="C54" s="28"/>
      <c r="D54" s="11" t="s">
        <v>114</v>
      </c>
      <c r="E54" s="14" t="s">
        <v>72</v>
      </c>
      <c r="F54" s="48">
        <v>8.8000000000000007</v>
      </c>
      <c r="H54" s="79"/>
      <c r="I54" s="80"/>
    </row>
    <row r="55" spans="1:17" x14ac:dyDescent="0.4">
      <c r="A55" s="22"/>
      <c r="B55" s="12"/>
      <c r="C55" s="28"/>
      <c r="D55" s="11" t="s">
        <v>114</v>
      </c>
      <c r="E55" s="14" t="s">
        <v>73</v>
      </c>
      <c r="F55" s="48">
        <v>8.81</v>
      </c>
      <c r="H55" s="79"/>
      <c r="I55" s="80"/>
    </row>
    <row r="56" spans="1:17" x14ac:dyDescent="0.4">
      <c r="A56" s="22"/>
      <c r="B56" s="12"/>
      <c r="C56" s="28"/>
      <c r="D56" s="11" t="s">
        <v>114</v>
      </c>
      <c r="E56" s="14" t="s">
        <v>74</v>
      </c>
      <c r="F56" s="48">
        <v>129.30000000000001</v>
      </c>
      <c r="H56" s="79"/>
      <c r="I56" s="80"/>
    </row>
    <row r="57" spans="1:17" x14ac:dyDescent="0.4">
      <c r="A57" s="22"/>
      <c r="B57" s="12"/>
      <c r="C57" s="28"/>
      <c r="D57" s="11" t="s">
        <v>114</v>
      </c>
      <c r="E57" s="14" t="s">
        <v>75</v>
      </c>
      <c r="F57" s="48">
        <v>6</v>
      </c>
      <c r="H57" s="79"/>
      <c r="I57" s="80"/>
    </row>
    <row r="58" spans="1:17" x14ac:dyDescent="0.4">
      <c r="A58" s="22"/>
      <c r="B58" s="12"/>
      <c r="C58" s="28"/>
      <c r="D58" s="11" t="s">
        <v>114</v>
      </c>
      <c r="E58" s="14" t="s">
        <v>117</v>
      </c>
      <c r="F58" s="48">
        <v>5</v>
      </c>
      <c r="H58" s="79"/>
      <c r="I58" s="80"/>
    </row>
    <row r="59" spans="1:17" x14ac:dyDescent="0.4">
      <c r="A59" s="22"/>
      <c r="B59" s="12"/>
      <c r="C59" s="28"/>
      <c r="D59" s="11" t="s">
        <v>114</v>
      </c>
      <c r="E59" s="14" t="s">
        <v>118</v>
      </c>
      <c r="F59" s="48">
        <v>5.61</v>
      </c>
      <c r="H59" s="79"/>
      <c r="I59" s="80"/>
    </row>
    <row r="60" spans="1:17" x14ac:dyDescent="0.4">
      <c r="A60" s="22"/>
      <c r="B60" s="12"/>
      <c r="C60" s="28"/>
      <c r="D60" s="11" t="s">
        <v>114</v>
      </c>
      <c r="E60" s="14" t="s">
        <v>76</v>
      </c>
      <c r="F60" s="48">
        <v>26.88</v>
      </c>
      <c r="H60" s="79"/>
      <c r="I60" s="80"/>
    </row>
    <row r="61" spans="1:17" x14ac:dyDescent="0.4">
      <c r="A61" s="22"/>
      <c r="B61" s="12"/>
      <c r="C61" s="28"/>
      <c r="D61" s="11" t="s">
        <v>114</v>
      </c>
      <c r="E61" s="14" t="s">
        <v>77</v>
      </c>
      <c r="F61" s="48">
        <v>28.5</v>
      </c>
      <c r="H61" s="79"/>
      <c r="I61" s="80"/>
    </row>
    <row r="62" spans="1:17" x14ac:dyDescent="0.4">
      <c r="A62" s="22"/>
      <c r="B62" s="12"/>
      <c r="C62" s="28"/>
      <c r="D62" s="11" t="s">
        <v>114</v>
      </c>
      <c r="E62" s="14" t="s">
        <v>102</v>
      </c>
      <c r="F62" s="48">
        <v>0</v>
      </c>
      <c r="H62" s="79"/>
      <c r="I62" s="80"/>
    </row>
    <row r="63" spans="1:17" x14ac:dyDescent="0.4">
      <c r="A63" s="22"/>
      <c r="B63" s="12"/>
      <c r="C63" s="28"/>
      <c r="D63" s="11" t="s">
        <v>114</v>
      </c>
      <c r="E63" s="14" t="s">
        <v>119</v>
      </c>
      <c r="F63" s="48">
        <v>44</v>
      </c>
      <c r="H63" s="79"/>
      <c r="I63" s="80"/>
    </row>
    <row r="64" spans="1:17" x14ac:dyDescent="0.4">
      <c r="A64" s="22"/>
      <c r="B64" s="12"/>
      <c r="C64" s="28"/>
      <c r="D64" s="11" t="s">
        <v>114</v>
      </c>
      <c r="E64" s="14" t="s">
        <v>120</v>
      </c>
      <c r="F64" s="48">
        <v>23</v>
      </c>
      <c r="H64" s="79"/>
      <c r="I64" s="80"/>
    </row>
    <row r="65" spans="1:9" x14ac:dyDescent="0.4">
      <c r="A65" s="22"/>
      <c r="B65" s="12"/>
      <c r="C65" s="28"/>
      <c r="D65" s="11" t="s">
        <v>33</v>
      </c>
      <c r="E65" s="14" t="s">
        <v>28</v>
      </c>
      <c r="F65" s="48">
        <v>13</v>
      </c>
      <c r="H65" s="79"/>
      <c r="I65" s="80"/>
    </row>
    <row r="66" spans="1:9" x14ac:dyDescent="0.4">
      <c r="A66" s="23">
        <v>45179</v>
      </c>
      <c r="B66" s="12" t="s">
        <v>84</v>
      </c>
      <c r="C66" s="28">
        <f>SUM(F66:F67)</f>
        <v>30.25</v>
      </c>
      <c r="D66" s="11" t="s">
        <v>33</v>
      </c>
      <c r="E66" s="14" t="s">
        <v>33</v>
      </c>
      <c r="F66" s="48">
        <v>28</v>
      </c>
      <c r="H66" s="79"/>
      <c r="I66" s="80"/>
    </row>
    <row r="67" spans="1:9" x14ac:dyDescent="0.4">
      <c r="A67" s="22"/>
      <c r="B67" s="12"/>
      <c r="C67" s="28"/>
      <c r="D67" s="11" t="s">
        <v>116</v>
      </c>
      <c r="E67" s="10" t="s">
        <v>37</v>
      </c>
      <c r="F67" s="48">
        <v>2.25</v>
      </c>
      <c r="H67" s="79"/>
      <c r="I67" s="80"/>
    </row>
    <row r="68" spans="1:9" x14ac:dyDescent="0.4">
      <c r="A68" s="23">
        <v>45180</v>
      </c>
      <c r="B68" s="12" t="s">
        <v>88</v>
      </c>
      <c r="C68" s="28">
        <f>表1[[#This Row],[支出]]+F69+F71+F73+F74+F75</f>
        <v>40.01</v>
      </c>
      <c r="D68" s="11" t="s">
        <v>33</v>
      </c>
      <c r="E68" s="14" t="s">
        <v>24</v>
      </c>
      <c r="F68" s="48">
        <v>6.5</v>
      </c>
      <c r="H68" s="79"/>
      <c r="I68" s="80"/>
    </row>
    <row r="69" spans="1:9" x14ac:dyDescent="0.4">
      <c r="A69" s="22"/>
      <c r="B69" s="12"/>
      <c r="C69" s="28"/>
      <c r="D69" s="11" t="s">
        <v>33</v>
      </c>
      <c r="E69" s="14" t="s">
        <v>27</v>
      </c>
      <c r="F69" s="48">
        <v>9</v>
      </c>
      <c r="H69" s="79"/>
      <c r="I69" s="80"/>
    </row>
    <row r="70" spans="1:9" x14ac:dyDescent="0.4">
      <c r="A70" s="22"/>
      <c r="B70" s="12"/>
      <c r="C70" s="28"/>
      <c r="D70" s="11" t="s">
        <v>150</v>
      </c>
      <c r="E70" s="14" t="s">
        <v>163</v>
      </c>
      <c r="F70" s="48">
        <v>0</v>
      </c>
      <c r="H70" s="79"/>
      <c r="I70" s="80"/>
    </row>
    <row r="71" spans="1:9" x14ac:dyDescent="0.4">
      <c r="A71" s="22"/>
      <c r="B71" s="12"/>
      <c r="C71" s="28"/>
      <c r="D71" s="11" t="s">
        <v>127</v>
      </c>
      <c r="E71" s="14" t="s">
        <v>124</v>
      </c>
      <c r="F71" s="48">
        <v>0.01</v>
      </c>
      <c r="H71" s="79"/>
      <c r="I71" s="80"/>
    </row>
    <row r="72" spans="1:9" x14ac:dyDescent="0.4">
      <c r="A72" s="22"/>
      <c r="B72" s="12"/>
      <c r="C72" s="28"/>
      <c r="D72" s="11" t="s">
        <v>116</v>
      </c>
      <c r="E72" s="14" t="s">
        <v>164</v>
      </c>
      <c r="F72" s="48">
        <v>0</v>
      </c>
      <c r="H72" s="79"/>
      <c r="I72" s="80"/>
    </row>
    <row r="73" spans="1:9" x14ac:dyDescent="0.4">
      <c r="A73" s="22"/>
      <c r="B73" s="12"/>
      <c r="C73" s="28"/>
      <c r="D73" s="11" t="s">
        <v>116</v>
      </c>
      <c r="E73" s="12" t="s">
        <v>93</v>
      </c>
      <c r="F73" s="48">
        <v>10</v>
      </c>
      <c r="H73" s="79"/>
      <c r="I73" s="80"/>
    </row>
    <row r="74" spans="1:9" x14ac:dyDescent="0.4">
      <c r="A74" s="22"/>
      <c r="B74" s="12"/>
      <c r="C74" s="28"/>
      <c r="D74" s="11" t="s">
        <v>116</v>
      </c>
      <c r="E74" s="14" t="s">
        <v>92</v>
      </c>
      <c r="F74" s="48">
        <v>3.5</v>
      </c>
      <c r="H74" s="79"/>
      <c r="I74" s="80"/>
    </row>
    <row r="75" spans="1:9" x14ac:dyDescent="0.4">
      <c r="A75" s="22"/>
      <c r="B75" s="12"/>
      <c r="C75" s="28"/>
      <c r="D75" s="11" t="s">
        <v>33</v>
      </c>
      <c r="E75" s="14" t="s">
        <v>28</v>
      </c>
      <c r="F75" s="48">
        <v>11</v>
      </c>
      <c r="H75" s="79"/>
      <c r="I75" s="80"/>
    </row>
    <row r="76" spans="1:9" x14ac:dyDescent="0.4">
      <c r="A76" s="23">
        <v>45181</v>
      </c>
      <c r="B76" s="12" t="s">
        <v>23</v>
      </c>
      <c r="C76" s="28">
        <f>表1[[#This Row],[支出]]+F77+F79</f>
        <v>25.5</v>
      </c>
      <c r="D76" s="11" t="s">
        <v>33</v>
      </c>
      <c r="E76" s="14" t="s">
        <v>24</v>
      </c>
      <c r="F76" s="48">
        <v>3.5</v>
      </c>
      <c r="H76" s="79"/>
      <c r="I76" s="80"/>
    </row>
    <row r="77" spans="1:9" x14ac:dyDescent="0.4">
      <c r="A77" s="22"/>
      <c r="B77" s="12"/>
      <c r="C77" s="28"/>
      <c r="D77" s="11" t="s">
        <v>33</v>
      </c>
      <c r="E77" s="14" t="s">
        <v>27</v>
      </c>
      <c r="F77" s="48">
        <v>10</v>
      </c>
      <c r="H77" s="79"/>
      <c r="I77" s="80"/>
    </row>
    <row r="78" spans="1:9" x14ac:dyDescent="0.4">
      <c r="A78" s="22"/>
      <c r="B78" s="12"/>
      <c r="C78" s="28"/>
      <c r="D78" s="11" t="s">
        <v>116</v>
      </c>
      <c r="E78" s="14" t="s">
        <v>165</v>
      </c>
      <c r="F78" s="48">
        <v>0</v>
      </c>
      <c r="H78" s="79"/>
      <c r="I78" s="80"/>
    </row>
    <row r="79" spans="1:9" x14ac:dyDescent="0.4">
      <c r="A79" s="23"/>
      <c r="B79" s="12"/>
      <c r="C79" s="28"/>
      <c r="D79" s="11" t="s">
        <v>33</v>
      </c>
      <c r="E79" s="14" t="s">
        <v>28</v>
      </c>
      <c r="F79" s="48">
        <v>12</v>
      </c>
      <c r="H79" s="79"/>
      <c r="I79" s="80"/>
    </row>
    <row r="80" spans="1:9" x14ac:dyDescent="0.4">
      <c r="A80" s="23">
        <v>45182</v>
      </c>
      <c r="B80" s="12" t="s">
        <v>30</v>
      </c>
      <c r="C80" s="28">
        <f>SUM(F80:F82)</f>
        <v>50</v>
      </c>
      <c r="D80" s="11" t="s">
        <v>114</v>
      </c>
      <c r="E80" s="14" t="s">
        <v>103</v>
      </c>
      <c r="F80" s="48">
        <v>21</v>
      </c>
      <c r="H80" s="79"/>
      <c r="I80" s="80"/>
    </row>
    <row r="81" spans="1:9" x14ac:dyDescent="0.4">
      <c r="A81" s="22"/>
      <c r="B81" s="12"/>
      <c r="C81" s="28"/>
      <c r="D81" s="11" t="s">
        <v>114</v>
      </c>
      <c r="E81" s="14" t="s">
        <v>104</v>
      </c>
      <c r="F81" s="48">
        <v>2</v>
      </c>
      <c r="H81" s="79"/>
      <c r="I81" s="80"/>
    </row>
    <row r="82" spans="1:9" x14ac:dyDescent="0.4">
      <c r="A82" s="22"/>
      <c r="B82" s="12"/>
      <c r="C82" s="28"/>
      <c r="D82" s="11" t="s">
        <v>33</v>
      </c>
      <c r="E82" s="14" t="s">
        <v>105</v>
      </c>
      <c r="F82" s="48">
        <v>27</v>
      </c>
      <c r="H82" s="79"/>
      <c r="I82" s="80"/>
    </row>
    <row r="83" spans="1:9" x14ac:dyDescent="0.4">
      <c r="A83" s="23">
        <v>45183</v>
      </c>
      <c r="B83" s="12" t="s">
        <v>34</v>
      </c>
      <c r="C83" s="28">
        <v>24</v>
      </c>
      <c r="D83" s="11" t="s">
        <v>33</v>
      </c>
      <c r="E83" s="14" t="s">
        <v>108</v>
      </c>
      <c r="F83" s="48">
        <v>24</v>
      </c>
      <c r="H83" s="79"/>
      <c r="I83" s="80"/>
    </row>
    <row r="84" spans="1:9" x14ac:dyDescent="0.4">
      <c r="A84" s="23">
        <v>45184</v>
      </c>
      <c r="B84" s="12" t="s">
        <v>61</v>
      </c>
      <c r="C84" s="28">
        <f>SUM(F84:F85)</f>
        <v>23.25</v>
      </c>
      <c r="D84" s="11" t="s">
        <v>33</v>
      </c>
      <c r="E84" s="14" t="s">
        <v>136</v>
      </c>
      <c r="F84" s="48">
        <v>21</v>
      </c>
      <c r="H84" s="79"/>
      <c r="I84" s="80"/>
    </row>
    <row r="85" spans="1:9" x14ac:dyDescent="0.4">
      <c r="A85" s="23"/>
      <c r="B85" s="12"/>
      <c r="C85" s="28"/>
      <c r="D85" s="11" t="s">
        <v>116</v>
      </c>
      <c r="E85" s="12" t="s">
        <v>37</v>
      </c>
      <c r="F85" s="48">
        <v>2.25</v>
      </c>
      <c r="H85" s="79"/>
      <c r="I85" s="80"/>
    </row>
    <row r="86" spans="1:9" x14ac:dyDescent="0.4">
      <c r="A86" s="23">
        <v>45185</v>
      </c>
      <c r="B86" s="12" t="s">
        <v>65</v>
      </c>
      <c r="C86" s="28">
        <v>25</v>
      </c>
      <c r="D86" s="11" t="s">
        <v>33</v>
      </c>
      <c r="E86" s="14" t="s">
        <v>134</v>
      </c>
      <c r="F86" s="48">
        <v>25</v>
      </c>
      <c r="H86" s="79"/>
      <c r="I86" s="80"/>
    </row>
    <row r="87" spans="1:9" x14ac:dyDescent="0.4">
      <c r="A87" s="23">
        <v>45186</v>
      </c>
      <c r="B87" s="12" t="s">
        <v>84</v>
      </c>
      <c r="C87" s="28">
        <f>SUM(F87:F88)</f>
        <v>400.07</v>
      </c>
      <c r="D87" s="11" t="s">
        <v>121</v>
      </c>
      <c r="E87" s="14" t="s">
        <v>111</v>
      </c>
      <c r="F87" s="48">
        <v>372.07</v>
      </c>
      <c r="H87" s="79"/>
      <c r="I87" s="80"/>
    </row>
    <row r="88" spans="1:9" x14ac:dyDescent="0.4">
      <c r="A88" s="22"/>
      <c r="B88" s="12"/>
      <c r="C88" s="28"/>
      <c r="D88" s="11" t="s">
        <v>33</v>
      </c>
      <c r="E88" s="14" t="s">
        <v>112</v>
      </c>
      <c r="F88" s="48">
        <v>28</v>
      </c>
      <c r="H88" s="79"/>
      <c r="I88" s="80"/>
    </row>
    <row r="89" spans="1:9" x14ac:dyDescent="0.4">
      <c r="A89" s="23">
        <v>45187</v>
      </c>
      <c r="B89" s="12" t="s">
        <v>88</v>
      </c>
      <c r="C89" s="28">
        <f>SUM(F89:F91)</f>
        <v>78.8</v>
      </c>
      <c r="D89" s="11" t="s">
        <v>114</v>
      </c>
      <c r="E89" s="14" t="s">
        <v>113</v>
      </c>
      <c r="F89" s="48">
        <v>20.8</v>
      </c>
      <c r="H89" s="79"/>
      <c r="I89" s="80"/>
    </row>
    <row r="90" spans="1:9" x14ac:dyDescent="0.4">
      <c r="A90" s="22"/>
      <c r="B90" s="12"/>
      <c r="C90" s="28"/>
      <c r="D90" s="11" t="s">
        <v>115</v>
      </c>
      <c r="E90" s="14" t="s">
        <v>129</v>
      </c>
      <c r="F90" s="48">
        <v>36</v>
      </c>
      <c r="H90" s="79"/>
      <c r="I90" s="80"/>
    </row>
    <row r="91" spans="1:9" x14ac:dyDescent="0.4">
      <c r="A91" s="22"/>
      <c r="B91" s="12"/>
      <c r="C91" s="28"/>
      <c r="D91" s="11" t="s">
        <v>33</v>
      </c>
      <c r="E91" s="14" t="s">
        <v>135</v>
      </c>
      <c r="F91" s="48">
        <v>22</v>
      </c>
      <c r="H91" s="79"/>
      <c r="I91" s="80"/>
    </row>
    <row r="92" spans="1:9" x14ac:dyDescent="0.4">
      <c r="A92" s="22"/>
      <c r="B92" s="12"/>
      <c r="C92" s="28">
        <v>0</v>
      </c>
      <c r="D92" s="11" t="s">
        <v>127</v>
      </c>
      <c r="E92" s="14" t="s">
        <v>137</v>
      </c>
      <c r="F92" s="48">
        <v>25</v>
      </c>
      <c r="H92" s="79"/>
      <c r="I92" s="80"/>
    </row>
    <row r="93" spans="1:9" x14ac:dyDescent="0.4">
      <c r="A93" s="23">
        <v>45188</v>
      </c>
      <c r="B93" s="12" t="s">
        <v>23</v>
      </c>
      <c r="C93" s="28">
        <v>26.25</v>
      </c>
      <c r="D93" s="11" t="s">
        <v>33</v>
      </c>
      <c r="E93" s="14" t="s">
        <v>138</v>
      </c>
      <c r="F93" s="48">
        <v>24</v>
      </c>
      <c r="H93" s="79"/>
      <c r="I93" s="80"/>
    </row>
    <row r="94" spans="1:9" x14ac:dyDescent="0.4">
      <c r="A94" s="23"/>
      <c r="B94" s="12"/>
      <c r="C94" s="28"/>
      <c r="D94" s="11" t="s">
        <v>127</v>
      </c>
      <c r="E94" s="14" t="s">
        <v>37</v>
      </c>
      <c r="F94" s="48">
        <v>2.25</v>
      </c>
      <c r="H94" s="79"/>
      <c r="I94" s="80"/>
    </row>
    <row r="95" spans="1:9" x14ac:dyDescent="0.4">
      <c r="A95" s="23">
        <v>45189</v>
      </c>
      <c r="B95" s="12" t="s">
        <v>30</v>
      </c>
      <c r="C95" s="28">
        <v>25</v>
      </c>
      <c r="D95" s="11" t="s">
        <v>33</v>
      </c>
      <c r="E95" s="14" t="s">
        <v>139</v>
      </c>
      <c r="F95" s="48">
        <v>25</v>
      </c>
      <c r="H95" s="79"/>
      <c r="I95" s="80"/>
    </row>
    <row r="96" spans="1:9" x14ac:dyDescent="0.4">
      <c r="A96" s="23">
        <v>45190</v>
      </c>
      <c r="B96" s="12" t="s">
        <v>34</v>
      </c>
      <c r="C96" s="28">
        <v>27</v>
      </c>
      <c r="D96" s="11" t="s">
        <v>33</v>
      </c>
      <c r="E96" s="14" t="s">
        <v>141</v>
      </c>
      <c r="F96" s="48">
        <v>27</v>
      </c>
      <c r="H96" s="79"/>
      <c r="I96" s="80"/>
    </row>
    <row r="97" spans="1:9" x14ac:dyDescent="0.4">
      <c r="A97" s="23">
        <v>45191</v>
      </c>
      <c r="B97" s="12" t="s">
        <v>61</v>
      </c>
      <c r="C97" s="28">
        <f>表1[[#This Row],[支出]]+F98</f>
        <v>26.25</v>
      </c>
      <c r="D97" s="11" t="s">
        <v>33</v>
      </c>
      <c r="E97" s="14" t="s">
        <v>138</v>
      </c>
      <c r="F97" s="48">
        <v>24</v>
      </c>
      <c r="H97" s="79"/>
      <c r="I97" s="80"/>
    </row>
    <row r="98" spans="1:9" x14ac:dyDescent="0.4">
      <c r="A98" s="23"/>
      <c r="B98" s="12"/>
      <c r="C98" s="28"/>
      <c r="D98" s="14" t="s">
        <v>127</v>
      </c>
      <c r="E98" s="12" t="s">
        <v>37</v>
      </c>
      <c r="F98" s="48">
        <v>2.25</v>
      </c>
      <c r="H98" s="79"/>
      <c r="I98" s="80"/>
    </row>
    <row r="99" spans="1:9" x14ac:dyDescent="0.4">
      <c r="A99" s="23">
        <v>45192</v>
      </c>
      <c r="B99" s="12" t="s">
        <v>65</v>
      </c>
      <c r="C99" s="28">
        <v>24</v>
      </c>
      <c r="D99" s="11" t="s">
        <v>33</v>
      </c>
      <c r="E99" s="14" t="s">
        <v>138</v>
      </c>
      <c r="F99" s="48">
        <v>24</v>
      </c>
      <c r="H99" s="79"/>
      <c r="I99" s="80"/>
    </row>
    <row r="100" spans="1:9" x14ac:dyDescent="0.4">
      <c r="A100" s="23">
        <v>45193</v>
      </c>
      <c r="B100" s="12" t="s">
        <v>84</v>
      </c>
      <c r="C100" s="28">
        <f>SUM(F100:F102)</f>
        <v>27.95</v>
      </c>
      <c r="D100" s="11" t="s">
        <v>33</v>
      </c>
      <c r="E100" s="14" t="s">
        <v>142</v>
      </c>
      <c r="F100" s="48">
        <v>23</v>
      </c>
      <c r="H100" s="79"/>
      <c r="I100" s="80"/>
    </row>
    <row r="101" spans="1:9" x14ac:dyDescent="0.4">
      <c r="A101" s="22"/>
      <c r="B101" s="12"/>
      <c r="C101" s="28"/>
      <c r="D101" s="14" t="s">
        <v>127</v>
      </c>
      <c r="E101" s="12" t="s">
        <v>37</v>
      </c>
      <c r="F101" s="48">
        <v>2.25</v>
      </c>
      <c r="H101" s="79"/>
      <c r="I101" s="80"/>
    </row>
    <row r="102" spans="1:9" x14ac:dyDescent="0.4">
      <c r="A102" s="22"/>
      <c r="B102" s="12"/>
      <c r="C102" s="28"/>
      <c r="D102" s="14" t="s">
        <v>127</v>
      </c>
      <c r="E102" s="14" t="s">
        <v>143</v>
      </c>
      <c r="F102" s="48">
        <v>2.7</v>
      </c>
      <c r="H102" s="79"/>
      <c r="I102" s="80"/>
    </row>
    <row r="103" spans="1:9" x14ac:dyDescent="0.4">
      <c r="A103" s="23">
        <v>45194</v>
      </c>
      <c r="B103" s="12" t="s">
        <v>88</v>
      </c>
      <c r="C103" s="28">
        <v>22</v>
      </c>
      <c r="D103" s="11" t="s">
        <v>33</v>
      </c>
      <c r="E103" s="14" t="s">
        <v>135</v>
      </c>
      <c r="F103" s="48">
        <v>22</v>
      </c>
      <c r="H103" s="79"/>
      <c r="I103" s="80"/>
    </row>
    <row r="104" spans="1:9" x14ac:dyDescent="0.4">
      <c r="A104" s="23">
        <v>45195</v>
      </c>
      <c r="B104" s="12" t="s">
        <v>23</v>
      </c>
      <c r="C104" s="28">
        <f>SUM(F104:F105)</f>
        <v>28.25</v>
      </c>
      <c r="D104" s="11" t="s">
        <v>33</v>
      </c>
      <c r="E104" s="14" t="s">
        <v>147</v>
      </c>
      <c r="F104" s="48">
        <v>26</v>
      </c>
      <c r="H104" s="79"/>
      <c r="I104" s="80"/>
    </row>
    <row r="105" spans="1:9" x14ac:dyDescent="0.4">
      <c r="A105" s="22"/>
      <c r="B105" s="12"/>
      <c r="C105" s="28"/>
      <c r="D105" s="14" t="s">
        <v>127</v>
      </c>
      <c r="E105" s="12" t="s">
        <v>37</v>
      </c>
      <c r="F105" s="48">
        <v>2.25</v>
      </c>
      <c r="H105" s="79"/>
      <c r="I105" s="80"/>
    </row>
    <row r="106" spans="1:9" x14ac:dyDescent="0.4">
      <c r="A106" s="23">
        <v>45196</v>
      </c>
      <c r="B106" s="12" t="s">
        <v>30</v>
      </c>
      <c r="C106" s="28">
        <v>28</v>
      </c>
      <c r="D106" s="14" t="s">
        <v>33</v>
      </c>
      <c r="E106" s="14" t="s">
        <v>149</v>
      </c>
      <c r="F106" s="48">
        <v>28</v>
      </c>
      <c r="H106" s="79"/>
      <c r="I106" s="80"/>
    </row>
    <row r="107" spans="1:9" x14ac:dyDescent="0.4">
      <c r="A107" s="23">
        <v>45197</v>
      </c>
      <c r="B107" s="12" t="s">
        <v>34</v>
      </c>
      <c r="C107" s="28">
        <f>SUM(F107:F109)</f>
        <v>33</v>
      </c>
      <c r="D107" s="14" t="s">
        <v>33</v>
      </c>
      <c r="E107" s="14" t="s">
        <v>151</v>
      </c>
      <c r="F107" s="48">
        <v>16</v>
      </c>
      <c r="H107" s="79"/>
      <c r="I107" s="80"/>
    </row>
    <row r="108" spans="1:9" x14ac:dyDescent="0.4">
      <c r="A108" s="23"/>
      <c r="B108" s="12"/>
      <c r="C108" s="28"/>
      <c r="D108" s="14" t="s">
        <v>150</v>
      </c>
      <c r="E108" s="14" t="s">
        <v>156</v>
      </c>
      <c r="F108" s="48">
        <v>12</v>
      </c>
      <c r="H108" s="79"/>
      <c r="I108" s="80"/>
    </row>
    <row r="109" spans="1:9" x14ac:dyDescent="0.4">
      <c r="A109" s="23"/>
      <c r="B109" s="12"/>
      <c r="C109" s="28"/>
      <c r="D109" s="14" t="s">
        <v>115</v>
      </c>
      <c r="E109" s="14" t="s">
        <v>152</v>
      </c>
      <c r="F109" s="48">
        <v>5</v>
      </c>
      <c r="H109" s="79"/>
      <c r="I109" s="80"/>
    </row>
    <row r="110" spans="1:9" x14ac:dyDescent="0.4">
      <c r="A110" s="23">
        <v>45198</v>
      </c>
      <c r="B110" s="12" t="s">
        <v>61</v>
      </c>
      <c r="C110" s="28">
        <f>SUM(F110:F112)</f>
        <v>66.72</v>
      </c>
      <c r="D110" s="14" t="s">
        <v>127</v>
      </c>
      <c r="E110" s="14" t="s">
        <v>153</v>
      </c>
      <c r="F110" s="48">
        <v>7</v>
      </c>
      <c r="H110" s="79"/>
      <c r="I110" s="80"/>
    </row>
    <row r="111" spans="1:9" x14ac:dyDescent="0.4">
      <c r="A111" s="22"/>
      <c r="B111" s="12"/>
      <c r="C111" s="28"/>
      <c r="D111" s="14" t="s">
        <v>127</v>
      </c>
      <c r="E111" s="14" t="s">
        <v>154</v>
      </c>
      <c r="F111" s="48">
        <v>36</v>
      </c>
      <c r="H111" s="79"/>
      <c r="I111" s="80"/>
    </row>
    <row r="112" spans="1:9" x14ac:dyDescent="0.4">
      <c r="A112" s="23"/>
      <c r="B112" s="12"/>
      <c r="C112" s="28"/>
      <c r="D112" s="14" t="s">
        <v>157</v>
      </c>
      <c r="E112" s="14" t="s">
        <v>175</v>
      </c>
      <c r="F112" s="48">
        <f>30-0.62-1.19-0.38-4.09</f>
        <v>23.72</v>
      </c>
      <c r="H112" s="79"/>
      <c r="I112" s="80"/>
    </row>
    <row r="113" spans="1:9" x14ac:dyDescent="0.4">
      <c r="A113" s="62">
        <v>45199</v>
      </c>
      <c r="B113" s="25" t="s">
        <v>65</v>
      </c>
      <c r="C113" s="63">
        <v>0</v>
      </c>
      <c r="D113" s="49"/>
      <c r="E113" s="49"/>
      <c r="F113" s="64"/>
      <c r="H113" s="79"/>
      <c r="I113" s="80"/>
    </row>
    <row r="114" spans="1:9" ht="15.4" customHeight="1" x14ac:dyDescent="0.4">
      <c r="A114" s="75"/>
      <c r="B114" s="49"/>
      <c r="C114" s="63"/>
      <c r="D114" s="49"/>
      <c r="E114" s="49"/>
      <c r="F114" s="64"/>
      <c r="H114" s="79"/>
      <c r="I114" s="80"/>
    </row>
    <row r="115" spans="1:9" ht="14.25" customHeight="1" x14ac:dyDescent="0.4">
      <c r="A115" s="90"/>
      <c r="B115" s="90"/>
      <c r="C115" s="102"/>
      <c r="D115" s="90"/>
      <c r="E115" s="90"/>
      <c r="F115" s="102"/>
      <c r="H115" s="79"/>
      <c r="I115" s="80"/>
    </row>
    <row r="116" spans="1:9" ht="15" customHeight="1" x14ac:dyDescent="0.4">
      <c r="A116" s="90"/>
      <c r="B116" s="90"/>
      <c r="C116" s="102"/>
      <c r="D116" s="90"/>
      <c r="E116" s="90"/>
      <c r="F116" s="102"/>
      <c r="H116" s="79"/>
      <c r="I116" s="80"/>
    </row>
    <row r="117" spans="1:9" ht="110.65" customHeight="1" x14ac:dyDescent="0.4">
      <c r="A117" s="90"/>
      <c r="B117" s="90"/>
      <c r="C117" s="102"/>
      <c r="D117" s="90"/>
      <c r="E117" s="90"/>
      <c r="F117" s="102"/>
      <c r="H117" s="79"/>
      <c r="I117" s="80"/>
    </row>
    <row r="118" spans="1:9" ht="111.4" customHeight="1" x14ac:dyDescent="0.4">
      <c r="A118" s="50" t="s">
        <v>52</v>
      </c>
      <c r="B118" s="51" t="s">
        <v>53</v>
      </c>
      <c r="C118" s="52" t="s">
        <v>69</v>
      </c>
      <c r="D118" s="88" t="s">
        <v>64</v>
      </c>
      <c r="E118" s="88" t="s">
        <v>54</v>
      </c>
      <c r="F118" s="103" t="s">
        <v>55</v>
      </c>
      <c r="H118" s="79"/>
      <c r="I118" s="80"/>
    </row>
    <row r="119" spans="1:9" ht="30.4" customHeight="1" x14ac:dyDescent="0.4">
      <c r="A119" s="26" t="s">
        <v>159</v>
      </c>
      <c r="B119" s="60"/>
      <c r="C119" s="97">
        <v>1771.24</v>
      </c>
      <c r="D119" s="60"/>
      <c r="E119" s="60"/>
      <c r="F119" s="61"/>
      <c r="H119" s="79"/>
      <c r="I119" s="80"/>
    </row>
    <row r="120" spans="1:9" x14ac:dyDescent="0.4">
      <c r="A120" s="53">
        <v>45200</v>
      </c>
      <c r="B120" s="54" t="s">
        <v>84</v>
      </c>
      <c r="C120" s="55">
        <v>4.74</v>
      </c>
      <c r="D120" s="54" t="s">
        <v>206</v>
      </c>
      <c r="E120" s="54" t="s">
        <v>176</v>
      </c>
      <c r="F120" s="55">
        <f>10-5.26</f>
        <v>4.74</v>
      </c>
      <c r="H120" s="87"/>
      <c r="I120" s="80"/>
    </row>
    <row r="121" spans="1:9" x14ac:dyDescent="0.4">
      <c r="A121" s="53">
        <v>45201</v>
      </c>
      <c r="B121" s="54" t="s">
        <v>88</v>
      </c>
      <c r="C121" s="55">
        <v>20</v>
      </c>
      <c r="D121" s="54" t="s">
        <v>127</v>
      </c>
      <c r="E121" s="54" t="s">
        <v>177</v>
      </c>
      <c r="F121" s="55">
        <v>20</v>
      </c>
      <c r="H121" s="79"/>
      <c r="I121" s="80"/>
    </row>
    <row r="122" spans="1:9" x14ac:dyDescent="0.4">
      <c r="A122" s="53">
        <v>45202</v>
      </c>
      <c r="B122" s="54" t="s">
        <v>23</v>
      </c>
      <c r="C122" s="55">
        <v>0</v>
      </c>
      <c r="D122" s="54"/>
      <c r="E122" s="54"/>
      <c r="F122" s="55"/>
      <c r="H122" s="79"/>
      <c r="I122" s="80"/>
    </row>
    <row r="123" spans="1:9" x14ac:dyDescent="0.4">
      <c r="A123" s="53">
        <v>45203</v>
      </c>
      <c r="B123" s="54" t="s">
        <v>30</v>
      </c>
      <c r="C123" s="55">
        <v>6.3</v>
      </c>
      <c r="D123" s="54" t="s">
        <v>127</v>
      </c>
      <c r="E123" s="54" t="s">
        <v>179</v>
      </c>
      <c r="F123" s="55">
        <v>6.3</v>
      </c>
      <c r="H123" s="79"/>
      <c r="I123" s="80"/>
    </row>
    <row r="124" spans="1:9" x14ac:dyDescent="0.4">
      <c r="A124" s="53">
        <v>45204</v>
      </c>
      <c r="B124" s="54" t="s">
        <v>34</v>
      </c>
      <c r="C124" s="55">
        <v>0</v>
      </c>
      <c r="D124" s="54"/>
      <c r="E124" s="54"/>
      <c r="F124" s="55"/>
      <c r="H124" s="79"/>
      <c r="I124" s="80"/>
    </row>
    <row r="125" spans="1:9" x14ac:dyDescent="0.4">
      <c r="A125" s="53">
        <v>45205</v>
      </c>
      <c r="B125" s="54" t="s">
        <v>61</v>
      </c>
      <c r="C125" s="55">
        <f>SUM(F125:F128)</f>
        <v>62.599999999999994</v>
      </c>
      <c r="D125" s="54" t="s">
        <v>127</v>
      </c>
      <c r="E125" s="54" t="s">
        <v>180</v>
      </c>
      <c r="F125" s="55">
        <v>1.8</v>
      </c>
      <c r="H125" s="79"/>
      <c r="I125" s="80"/>
    </row>
    <row r="126" spans="1:9" x14ac:dyDescent="0.4">
      <c r="A126" s="59"/>
      <c r="B126" s="54"/>
      <c r="C126" s="55"/>
      <c r="D126" s="54" t="s">
        <v>33</v>
      </c>
      <c r="E126" s="54" t="s">
        <v>28</v>
      </c>
      <c r="F126" s="55">
        <v>12</v>
      </c>
      <c r="H126" s="79"/>
      <c r="I126" s="80"/>
    </row>
    <row r="127" spans="1:9" x14ac:dyDescent="0.4">
      <c r="A127" s="59"/>
      <c r="B127" s="54"/>
      <c r="C127" s="55"/>
      <c r="D127" s="54" t="s">
        <v>181</v>
      </c>
      <c r="E127" s="54" t="s">
        <v>29</v>
      </c>
      <c r="F127" s="55">
        <v>40.799999999999997</v>
      </c>
      <c r="H127" s="137" t="s">
        <v>269</v>
      </c>
      <c r="I127" s="143"/>
    </row>
    <row r="128" spans="1:9" x14ac:dyDescent="0.4">
      <c r="A128" s="59"/>
      <c r="B128" s="54"/>
      <c r="C128" s="55"/>
      <c r="D128" s="54" t="s">
        <v>150</v>
      </c>
      <c r="E128" s="54" t="s">
        <v>182</v>
      </c>
      <c r="F128" s="55">
        <v>8</v>
      </c>
      <c r="H128" s="144"/>
      <c r="I128" s="145"/>
    </row>
    <row r="129" spans="1:9" x14ac:dyDescent="0.4">
      <c r="A129" s="53">
        <v>45206</v>
      </c>
      <c r="B129" s="54" t="s">
        <v>65</v>
      </c>
      <c r="C129" s="55">
        <f>SUM(F129:F131)</f>
        <v>31.15</v>
      </c>
      <c r="D129" s="54" t="s">
        <v>33</v>
      </c>
      <c r="E129" s="54" t="s">
        <v>184</v>
      </c>
      <c r="F129" s="55">
        <f>3+7+9</f>
        <v>19</v>
      </c>
      <c r="H129" s="144"/>
      <c r="I129" s="145"/>
    </row>
    <row r="130" spans="1:9" x14ac:dyDescent="0.4">
      <c r="A130" s="59"/>
      <c r="B130" s="54"/>
      <c r="C130" s="55"/>
      <c r="D130" s="54" t="s">
        <v>150</v>
      </c>
      <c r="E130" s="54" t="s">
        <v>183</v>
      </c>
      <c r="F130" s="55">
        <v>9.9</v>
      </c>
      <c r="H130" s="144"/>
      <c r="I130" s="145"/>
    </row>
    <row r="131" spans="1:9" x14ac:dyDescent="0.4">
      <c r="A131" s="59"/>
      <c r="B131" s="54"/>
      <c r="C131" s="55"/>
      <c r="D131" s="54" t="s">
        <v>127</v>
      </c>
      <c r="E131" s="54" t="s">
        <v>37</v>
      </c>
      <c r="F131" s="55">
        <v>2.25</v>
      </c>
      <c r="H131" s="144"/>
      <c r="I131" s="145"/>
    </row>
    <row r="132" spans="1:9" x14ac:dyDescent="0.4">
      <c r="A132" s="53">
        <v>45207</v>
      </c>
      <c r="B132" s="54" t="s">
        <v>84</v>
      </c>
      <c r="C132" s="55">
        <f>表5[[#This Row],[支出]]</f>
        <v>31</v>
      </c>
      <c r="D132" s="54" t="s">
        <v>33</v>
      </c>
      <c r="E132" s="54" t="s">
        <v>185</v>
      </c>
      <c r="F132" s="55">
        <f>7+12+12</f>
        <v>31</v>
      </c>
      <c r="H132" s="144"/>
      <c r="I132" s="145"/>
    </row>
    <row r="133" spans="1:9" x14ac:dyDescent="0.4">
      <c r="A133" s="53">
        <v>45208</v>
      </c>
      <c r="B133" s="54" t="s">
        <v>88</v>
      </c>
      <c r="C133" s="55">
        <f>SUM(F133:F135)</f>
        <v>130.80000000000001</v>
      </c>
      <c r="D133" s="54" t="s">
        <v>127</v>
      </c>
      <c r="E133" s="54" t="s">
        <v>149</v>
      </c>
      <c r="F133" s="55">
        <v>28</v>
      </c>
      <c r="H133" s="144"/>
      <c r="I133" s="145"/>
    </row>
    <row r="134" spans="1:9" x14ac:dyDescent="0.4">
      <c r="A134" s="59"/>
      <c r="B134" s="54"/>
      <c r="C134" s="55"/>
      <c r="D134" s="54" t="s">
        <v>186</v>
      </c>
      <c r="E134" s="54" t="s">
        <v>192</v>
      </c>
      <c r="F134" s="55">
        <v>58</v>
      </c>
      <c r="H134" s="144"/>
      <c r="I134" s="145"/>
    </row>
    <row r="135" spans="1:9" x14ac:dyDescent="0.4">
      <c r="A135" s="59"/>
      <c r="B135" s="54"/>
      <c r="C135" s="55"/>
      <c r="D135" s="54" t="s">
        <v>187</v>
      </c>
      <c r="E135" s="54" t="s">
        <v>188</v>
      </c>
      <c r="F135" s="55">
        <v>44.8</v>
      </c>
      <c r="H135" s="144"/>
      <c r="I135" s="145"/>
    </row>
    <row r="136" spans="1:9" x14ac:dyDescent="0.4">
      <c r="A136" s="53">
        <v>45209</v>
      </c>
      <c r="B136" s="54" t="s">
        <v>23</v>
      </c>
      <c r="C136" s="55">
        <f>SUM(F136:F137)</f>
        <v>51.2</v>
      </c>
      <c r="D136" s="54" t="s">
        <v>33</v>
      </c>
      <c r="E136" s="54" t="s">
        <v>191</v>
      </c>
      <c r="F136" s="55">
        <f>4+13+16</f>
        <v>33</v>
      </c>
      <c r="H136" s="146"/>
      <c r="I136" s="147"/>
    </row>
    <row r="137" spans="1:9" x14ac:dyDescent="0.4">
      <c r="A137" s="59"/>
      <c r="B137" s="54"/>
      <c r="C137" s="55"/>
      <c r="D137" s="54" t="s">
        <v>187</v>
      </c>
      <c r="E137" s="54" t="s">
        <v>198</v>
      </c>
      <c r="F137" s="55">
        <v>18.2</v>
      </c>
      <c r="H137" s="79"/>
      <c r="I137" s="80"/>
    </row>
    <row r="138" spans="1:9" x14ac:dyDescent="0.4">
      <c r="A138" s="53">
        <v>45210</v>
      </c>
      <c r="B138" s="54" t="s">
        <v>30</v>
      </c>
      <c r="C138" s="55">
        <f>SUM(F138:F139)</f>
        <v>108</v>
      </c>
      <c r="D138" s="54" t="s">
        <v>33</v>
      </c>
      <c r="E138" s="54" t="s">
        <v>149</v>
      </c>
      <c r="F138" s="55">
        <f>4+12+12</f>
        <v>28</v>
      </c>
      <c r="H138" s="79"/>
      <c r="I138" s="80"/>
    </row>
    <row r="139" spans="1:9" x14ac:dyDescent="0.4">
      <c r="A139" s="59"/>
      <c r="B139" s="54"/>
      <c r="C139" s="55"/>
      <c r="D139" s="54" t="s">
        <v>193</v>
      </c>
      <c r="E139" s="54" t="s">
        <v>193</v>
      </c>
      <c r="F139" s="55">
        <v>80</v>
      </c>
      <c r="H139" s="79"/>
      <c r="I139" s="80"/>
    </row>
    <row r="140" spans="1:9" x14ac:dyDescent="0.4">
      <c r="A140" s="53">
        <v>45211</v>
      </c>
      <c r="B140" s="54" t="s">
        <v>34</v>
      </c>
      <c r="C140" s="55">
        <f>SUM(F140:F142)</f>
        <v>44.25</v>
      </c>
      <c r="D140" s="54" t="s">
        <v>33</v>
      </c>
      <c r="E140" s="54" t="s">
        <v>195</v>
      </c>
      <c r="F140" s="55">
        <f>6+9+12</f>
        <v>27</v>
      </c>
      <c r="H140" s="79"/>
      <c r="I140" s="80"/>
    </row>
    <row r="141" spans="1:9" x14ac:dyDescent="0.4">
      <c r="A141" s="59"/>
      <c r="B141" s="54"/>
      <c r="C141" s="55"/>
      <c r="D141" s="54" t="s">
        <v>196</v>
      </c>
      <c r="E141" s="54" t="s">
        <v>37</v>
      </c>
      <c r="F141" s="55">
        <v>2.25</v>
      </c>
      <c r="H141" s="79"/>
      <c r="I141" s="80"/>
    </row>
    <row r="142" spans="1:9" x14ac:dyDescent="0.4">
      <c r="A142" s="59"/>
      <c r="B142" s="54"/>
      <c r="C142" s="55"/>
      <c r="D142" s="54" t="s">
        <v>206</v>
      </c>
      <c r="E142" s="54" t="s">
        <v>197</v>
      </c>
      <c r="F142" s="55">
        <v>15</v>
      </c>
      <c r="H142" s="82" t="s">
        <v>255</v>
      </c>
      <c r="I142" s="83" t="s">
        <v>212</v>
      </c>
    </row>
    <row r="143" spans="1:9" x14ac:dyDescent="0.4">
      <c r="A143" s="53">
        <v>45212</v>
      </c>
      <c r="B143" s="54" t="s">
        <v>61</v>
      </c>
      <c r="C143" s="55">
        <f>SUM(F143:F148)</f>
        <v>72.400000000000006</v>
      </c>
      <c r="D143" s="54" t="s">
        <v>33</v>
      </c>
      <c r="E143" s="54" t="s">
        <v>199</v>
      </c>
      <c r="F143" s="55">
        <v>13</v>
      </c>
      <c r="H143" s="84" t="s">
        <v>213</v>
      </c>
      <c r="I143" s="83">
        <v>595</v>
      </c>
    </row>
    <row r="144" spans="1:9" x14ac:dyDescent="0.4">
      <c r="A144" s="59"/>
      <c r="B144" s="54"/>
      <c r="C144" s="55"/>
      <c r="D144" s="54" t="s">
        <v>150</v>
      </c>
      <c r="E144" s="54" t="s">
        <v>163</v>
      </c>
      <c r="F144" s="55">
        <v>0</v>
      </c>
      <c r="H144" s="84" t="s">
        <v>257</v>
      </c>
      <c r="I144" s="83">
        <v>80</v>
      </c>
    </row>
    <row r="145" spans="1:9" x14ac:dyDescent="0.4">
      <c r="A145" s="59"/>
      <c r="B145" s="54"/>
      <c r="C145" s="55"/>
      <c r="D145" s="54" t="s">
        <v>200</v>
      </c>
      <c r="E145" s="54" t="s">
        <v>201</v>
      </c>
      <c r="F145" s="55">
        <v>6</v>
      </c>
      <c r="H145" s="84" t="s">
        <v>214</v>
      </c>
      <c r="I145" s="83">
        <v>69.650000000000006</v>
      </c>
    </row>
    <row r="146" spans="1:9" x14ac:dyDescent="0.4">
      <c r="A146" s="59"/>
      <c r="B146" s="54"/>
      <c r="C146" s="55"/>
      <c r="D146" s="54" t="s">
        <v>127</v>
      </c>
      <c r="E146" s="54" t="s">
        <v>202</v>
      </c>
      <c r="F146" s="55">
        <v>14.9</v>
      </c>
      <c r="H146" s="84" t="s">
        <v>258</v>
      </c>
      <c r="I146" s="83">
        <v>58</v>
      </c>
    </row>
    <row r="147" spans="1:9" x14ac:dyDescent="0.4">
      <c r="A147" s="59"/>
      <c r="B147" s="54"/>
      <c r="C147" s="55"/>
      <c r="D147" s="54" t="s">
        <v>127</v>
      </c>
      <c r="E147" s="54" t="s">
        <v>203</v>
      </c>
      <c r="F147" s="55">
        <v>23.5</v>
      </c>
      <c r="H147" s="84" t="s">
        <v>259</v>
      </c>
      <c r="I147" s="83">
        <v>9.5</v>
      </c>
    </row>
    <row r="148" spans="1:9" x14ac:dyDescent="0.4">
      <c r="A148" s="59"/>
      <c r="B148" s="54"/>
      <c r="C148" s="55"/>
      <c r="D148" s="54" t="s">
        <v>150</v>
      </c>
      <c r="E148" s="54" t="s">
        <v>204</v>
      </c>
      <c r="F148" s="55">
        <v>15</v>
      </c>
      <c r="H148" s="84" t="s">
        <v>260</v>
      </c>
      <c r="I148" s="83">
        <v>40.799999999999997</v>
      </c>
    </row>
    <row r="149" spans="1:9" x14ac:dyDescent="0.4">
      <c r="A149" s="53">
        <v>45213</v>
      </c>
      <c r="B149" s="54" t="s">
        <v>65</v>
      </c>
      <c r="C149" s="55">
        <f>SUM(F149:F151)</f>
        <v>63.5</v>
      </c>
      <c r="D149" s="54" t="s">
        <v>150</v>
      </c>
      <c r="E149" s="54" t="s">
        <v>67</v>
      </c>
      <c r="F149" s="55">
        <v>8</v>
      </c>
      <c r="H149" s="84" t="s">
        <v>261</v>
      </c>
      <c r="I149" s="83">
        <v>7.36</v>
      </c>
    </row>
    <row r="150" spans="1:9" x14ac:dyDescent="0.4">
      <c r="A150" s="22"/>
      <c r="B150" s="54"/>
      <c r="C150" s="55"/>
      <c r="D150" s="54" t="s">
        <v>33</v>
      </c>
      <c r="E150" s="54" t="s">
        <v>209</v>
      </c>
      <c r="F150" s="55">
        <f>15.5+14</f>
        <v>29.5</v>
      </c>
      <c r="H150" s="84" t="s">
        <v>262</v>
      </c>
      <c r="I150" s="83">
        <v>302.11</v>
      </c>
    </row>
    <row r="151" spans="1:9" x14ac:dyDescent="0.4">
      <c r="A151" s="22"/>
      <c r="B151" s="54"/>
      <c r="C151" s="55"/>
      <c r="D151" s="54" t="s">
        <v>206</v>
      </c>
      <c r="E151" s="54" t="s">
        <v>207</v>
      </c>
      <c r="F151" s="55">
        <v>26</v>
      </c>
      <c r="H151" s="84" t="s">
        <v>116</v>
      </c>
      <c r="I151" s="83">
        <v>96.75</v>
      </c>
    </row>
    <row r="152" spans="1:9" x14ac:dyDescent="0.4">
      <c r="A152" s="23">
        <v>45214</v>
      </c>
      <c r="B152" s="54" t="s">
        <v>84</v>
      </c>
      <c r="C152" s="55">
        <f>SUM(F152:F154)</f>
        <v>48.75</v>
      </c>
      <c r="D152" s="54" t="s">
        <v>33</v>
      </c>
      <c r="E152" s="54" t="s">
        <v>218</v>
      </c>
      <c r="F152" s="55">
        <f>4.5+9+12</f>
        <v>25.5</v>
      </c>
      <c r="H152" s="84" t="s">
        <v>263</v>
      </c>
      <c r="I152" s="83">
        <v>38</v>
      </c>
    </row>
    <row r="153" spans="1:9" x14ac:dyDescent="0.4">
      <c r="A153" s="22"/>
      <c r="B153" s="54"/>
      <c r="C153" s="55"/>
      <c r="D153" s="54" t="s">
        <v>196</v>
      </c>
      <c r="E153" s="54" t="s">
        <v>37</v>
      </c>
      <c r="F153" s="55">
        <v>2.25</v>
      </c>
      <c r="H153" s="84" t="s">
        <v>264</v>
      </c>
      <c r="I153" s="83">
        <v>84</v>
      </c>
    </row>
    <row r="154" spans="1:9" x14ac:dyDescent="0.4">
      <c r="A154" s="22"/>
      <c r="B154" s="54"/>
      <c r="C154" s="55"/>
      <c r="D154" s="54" t="s">
        <v>187</v>
      </c>
      <c r="E154" s="54" t="s">
        <v>219</v>
      </c>
      <c r="F154" s="55">
        <v>21</v>
      </c>
      <c r="H154" s="84" t="s">
        <v>265</v>
      </c>
      <c r="I154" s="83">
        <v>18</v>
      </c>
    </row>
    <row r="155" spans="1:9" x14ac:dyDescent="0.4">
      <c r="A155" s="23">
        <v>45215</v>
      </c>
      <c r="B155" s="54" t="s">
        <v>88</v>
      </c>
      <c r="C155" s="55">
        <v>24</v>
      </c>
      <c r="D155" s="54" t="s">
        <v>33</v>
      </c>
      <c r="E155" s="54" t="s">
        <v>220</v>
      </c>
      <c r="F155" s="55">
        <f>3+9+12</f>
        <v>24</v>
      </c>
      <c r="H155" s="84" t="s">
        <v>266</v>
      </c>
      <c r="I155" s="83">
        <v>372.07</v>
      </c>
    </row>
    <row r="156" spans="1:9" x14ac:dyDescent="0.4">
      <c r="A156" s="23">
        <v>45216</v>
      </c>
      <c r="B156" s="54" t="s">
        <v>23</v>
      </c>
      <c r="C156" s="55">
        <f>表5[[#This Row],[支出]]+F158+F157</f>
        <v>431.57</v>
      </c>
      <c r="D156" s="54" t="s">
        <v>221</v>
      </c>
      <c r="E156" s="54" t="s">
        <v>222</v>
      </c>
      <c r="F156" s="55">
        <v>38</v>
      </c>
      <c r="H156" s="84" t="s">
        <v>216</v>
      </c>
      <c r="I156" s="83"/>
    </row>
    <row r="157" spans="1:9" x14ac:dyDescent="0.4">
      <c r="A157" s="22"/>
      <c r="B157" s="54"/>
      <c r="C157" s="55"/>
      <c r="D157" s="54" t="s">
        <v>33</v>
      </c>
      <c r="E157" s="54" t="s">
        <v>223</v>
      </c>
      <c r="F157" s="55">
        <f>2.5+7+12</f>
        <v>21.5</v>
      </c>
      <c r="H157" s="84" t="s">
        <v>256</v>
      </c>
      <c r="I157" s="83">
        <v>1771.24</v>
      </c>
    </row>
    <row r="158" spans="1:9" x14ac:dyDescent="0.4">
      <c r="A158" s="59"/>
      <c r="B158" s="54"/>
      <c r="C158" s="55"/>
      <c r="D158" s="54" t="s">
        <v>224</v>
      </c>
      <c r="E158" s="54" t="s">
        <v>111</v>
      </c>
      <c r="F158" s="55">
        <v>372.07</v>
      </c>
      <c r="H158" s="79"/>
      <c r="I158" s="80"/>
    </row>
    <row r="159" spans="1:9" x14ac:dyDescent="0.4">
      <c r="A159" s="23">
        <v>45217</v>
      </c>
      <c r="B159" s="54" t="s">
        <v>30</v>
      </c>
      <c r="C159" s="55">
        <v>28.5</v>
      </c>
      <c r="D159" s="54" t="s">
        <v>33</v>
      </c>
      <c r="E159" s="54" t="s">
        <v>233</v>
      </c>
      <c r="F159" s="55">
        <v>28.5</v>
      </c>
      <c r="H159" s="79"/>
      <c r="I159" s="80"/>
    </row>
    <row r="160" spans="1:9" x14ac:dyDescent="0.4">
      <c r="A160" s="23">
        <v>45218</v>
      </c>
      <c r="B160" s="54" t="s">
        <v>34</v>
      </c>
      <c r="C160" s="55">
        <f>24+9</f>
        <v>33</v>
      </c>
      <c r="D160" s="54" t="s">
        <v>33</v>
      </c>
      <c r="E160" s="54" t="s">
        <v>220</v>
      </c>
      <c r="F160" s="55">
        <f>3+9+12</f>
        <v>24</v>
      </c>
      <c r="H160" s="79"/>
      <c r="I160" s="80"/>
    </row>
    <row r="161" spans="1:9" x14ac:dyDescent="0.4">
      <c r="A161" s="53"/>
      <c r="B161" s="54"/>
      <c r="C161" s="55"/>
      <c r="D161" s="54" t="s">
        <v>196</v>
      </c>
      <c r="E161" s="54" t="s">
        <v>37</v>
      </c>
      <c r="F161" s="55">
        <v>2.25</v>
      </c>
      <c r="H161" s="79"/>
      <c r="I161" s="80"/>
    </row>
    <row r="162" spans="1:9" x14ac:dyDescent="0.4">
      <c r="A162" s="23">
        <v>45219</v>
      </c>
      <c r="B162" s="54" t="s">
        <v>61</v>
      </c>
      <c r="C162" s="55">
        <f>SUM(F162:F164)</f>
        <v>77.87</v>
      </c>
      <c r="D162" s="54" t="s">
        <v>33</v>
      </c>
      <c r="E162" s="54" t="s">
        <v>252</v>
      </c>
      <c r="F162" s="55">
        <v>27</v>
      </c>
      <c r="H162" s="79"/>
      <c r="I162" s="80"/>
    </row>
    <row r="163" spans="1:9" x14ac:dyDescent="0.4">
      <c r="A163" s="22"/>
      <c r="B163" s="54"/>
      <c r="C163" s="55"/>
      <c r="D163" s="54" t="s">
        <v>242</v>
      </c>
      <c r="E163" s="54" t="s">
        <v>235</v>
      </c>
      <c r="F163" s="55">
        <v>0.5</v>
      </c>
      <c r="H163" s="79"/>
      <c r="I163" s="80"/>
    </row>
    <row r="164" spans="1:9" x14ac:dyDescent="0.4">
      <c r="A164" s="23"/>
      <c r="B164" s="54"/>
      <c r="C164" s="55"/>
      <c r="D164" s="54" t="s">
        <v>206</v>
      </c>
      <c r="E164" s="54" t="s">
        <v>238</v>
      </c>
      <c r="F164" s="55">
        <f>4.82+45.55</f>
        <v>50.37</v>
      </c>
      <c r="H164" s="79"/>
      <c r="I164" s="80"/>
    </row>
    <row r="165" spans="1:9" x14ac:dyDescent="0.4">
      <c r="A165" s="23">
        <v>45220</v>
      </c>
      <c r="B165" s="54" t="s">
        <v>65</v>
      </c>
      <c r="C165" s="55">
        <f>26.5</f>
        <v>26.5</v>
      </c>
      <c r="D165" s="54" t="s">
        <v>242</v>
      </c>
      <c r="E165" s="54" t="s">
        <v>183</v>
      </c>
      <c r="F165" s="55">
        <v>1</v>
      </c>
      <c r="H165" s="79"/>
      <c r="I165" s="80"/>
    </row>
    <row r="166" spans="1:9" x14ac:dyDescent="0.4">
      <c r="A166" s="22"/>
      <c r="B166" s="54"/>
      <c r="C166" s="55"/>
      <c r="D166" s="54" t="s">
        <v>33</v>
      </c>
      <c r="E166" s="54" t="s">
        <v>218</v>
      </c>
      <c r="F166" s="55">
        <f>4.5+9+12</f>
        <v>25.5</v>
      </c>
      <c r="H166" s="79"/>
      <c r="I166" s="80"/>
    </row>
    <row r="167" spans="1:9" x14ac:dyDescent="0.4">
      <c r="A167" s="23">
        <v>45221</v>
      </c>
      <c r="B167" s="54" t="s">
        <v>84</v>
      </c>
      <c r="C167" s="55">
        <v>29</v>
      </c>
      <c r="D167" s="54" t="s">
        <v>33</v>
      </c>
      <c r="E167" s="54" t="s">
        <v>249</v>
      </c>
      <c r="F167" s="55">
        <f>5+12+12</f>
        <v>29</v>
      </c>
      <c r="H167" s="79"/>
      <c r="I167" s="80"/>
    </row>
    <row r="168" spans="1:9" x14ac:dyDescent="0.4">
      <c r="A168" s="23">
        <v>45222</v>
      </c>
      <c r="B168" s="54" t="s">
        <v>88</v>
      </c>
      <c r="C168" s="55">
        <f>SUM(F168:F170)</f>
        <v>22.21</v>
      </c>
      <c r="D168" s="54" t="s">
        <v>33</v>
      </c>
      <c r="E168" s="54" t="s">
        <v>250</v>
      </c>
      <c r="F168" s="55">
        <f>9+10</f>
        <v>19</v>
      </c>
      <c r="H168" s="79"/>
      <c r="I168" s="80"/>
    </row>
    <row r="169" spans="1:9" x14ac:dyDescent="0.4">
      <c r="A169" s="22"/>
      <c r="B169" s="54"/>
      <c r="C169" s="55"/>
      <c r="D169" s="54" t="s">
        <v>196</v>
      </c>
      <c r="E169" s="54" t="s">
        <v>37</v>
      </c>
      <c r="F169" s="55">
        <v>2.25</v>
      </c>
      <c r="H169" s="79"/>
      <c r="I169" s="80"/>
    </row>
    <row r="170" spans="1:9" x14ac:dyDescent="0.4">
      <c r="A170" s="59"/>
      <c r="B170" s="54"/>
      <c r="C170" s="55"/>
      <c r="D170" s="54" t="s">
        <v>200</v>
      </c>
      <c r="E170" s="54" t="s">
        <v>244</v>
      </c>
      <c r="F170" s="55">
        <v>0.96</v>
      </c>
      <c r="H170" s="79"/>
      <c r="I170" s="80"/>
    </row>
    <row r="171" spans="1:9" x14ac:dyDescent="0.4">
      <c r="A171" s="23">
        <v>45223</v>
      </c>
      <c r="B171" s="54" t="s">
        <v>23</v>
      </c>
      <c r="C171" s="55">
        <f>SUM(F171:F172)</f>
        <v>27.4</v>
      </c>
      <c r="D171" s="54" t="s">
        <v>33</v>
      </c>
      <c r="E171" s="54" t="s">
        <v>234</v>
      </c>
      <c r="F171" s="55">
        <v>27</v>
      </c>
      <c r="H171" s="79"/>
      <c r="I171" s="80"/>
    </row>
    <row r="172" spans="1:9" x14ac:dyDescent="0.4">
      <c r="A172" s="53"/>
      <c r="B172" s="54"/>
      <c r="C172" s="55"/>
      <c r="D172" s="54" t="s">
        <v>200</v>
      </c>
      <c r="E172" s="54" t="s">
        <v>245</v>
      </c>
      <c r="F172" s="55">
        <v>0.4</v>
      </c>
      <c r="H172" s="79"/>
      <c r="I172" s="80"/>
    </row>
    <row r="173" spans="1:9" x14ac:dyDescent="0.4">
      <c r="A173" s="23">
        <v>45224</v>
      </c>
      <c r="B173" s="54" t="s">
        <v>30</v>
      </c>
      <c r="C173" s="55">
        <f>SUM(F173:F174)</f>
        <v>28.75</v>
      </c>
      <c r="D173" s="54" t="s">
        <v>33</v>
      </c>
      <c r="E173" s="54" t="s">
        <v>251</v>
      </c>
      <c r="F173" s="55">
        <f>4.5+10+12</f>
        <v>26.5</v>
      </c>
      <c r="H173" s="79"/>
      <c r="I173" s="80"/>
    </row>
    <row r="174" spans="1:9" x14ac:dyDescent="0.4">
      <c r="A174" s="53"/>
      <c r="B174" s="54"/>
      <c r="C174" s="55"/>
      <c r="D174" s="54" t="s">
        <v>196</v>
      </c>
      <c r="E174" s="54" t="s">
        <v>37</v>
      </c>
      <c r="F174" s="55">
        <v>2.25</v>
      </c>
      <c r="H174" s="79"/>
      <c r="I174" s="80"/>
    </row>
    <row r="175" spans="1:9" x14ac:dyDescent="0.4">
      <c r="A175" s="23">
        <v>45225</v>
      </c>
      <c r="B175" s="54" t="s">
        <v>34</v>
      </c>
      <c r="C175" s="55">
        <f>表5[[#This Row],[支出]]+F176</f>
        <v>32</v>
      </c>
      <c r="D175" s="54" t="s">
        <v>33</v>
      </c>
      <c r="E175" s="54" t="s">
        <v>220</v>
      </c>
      <c r="F175" s="55">
        <v>24</v>
      </c>
      <c r="H175" s="79"/>
      <c r="I175" s="80"/>
    </row>
    <row r="176" spans="1:9" x14ac:dyDescent="0.4">
      <c r="A176" s="22"/>
      <c r="B176" s="54"/>
      <c r="C176" s="55"/>
      <c r="D176" s="54" t="s">
        <v>242</v>
      </c>
      <c r="E176" s="54" t="s">
        <v>241</v>
      </c>
      <c r="F176" s="55">
        <v>8</v>
      </c>
      <c r="H176" s="79"/>
      <c r="I176" s="80"/>
    </row>
    <row r="177" spans="1:10" x14ac:dyDescent="0.4">
      <c r="A177" s="23">
        <v>45226</v>
      </c>
      <c r="B177" s="54" t="s">
        <v>61</v>
      </c>
      <c r="C177" s="55">
        <v>25.5</v>
      </c>
      <c r="D177" s="54" t="s">
        <v>33</v>
      </c>
      <c r="E177" s="54" t="s">
        <v>246</v>
      </c>
      <c r="F177" s="55">
        <f>3.5+12+10</f>
        <v>25.5</v>
      </c>
      <c r="H177" s="79"/>
      <c r="I177" s="80"/>
    </row>
    <row r="178" spans="1:10" x14ac:dyDescent="0.4">
      <c r="A178" s="93">
        <v>45227</v>
      </c>
      <c r="B178" s="54" t="s">
        <v>65</v>
      </c>
      <c r="C178" s="55">
        <f>SUM(F178:F180)</f>
        <v>242.25</v>
      </c>
      <c r="D178" s="54" t="s">
        <v>33</v>
      </c>
      <c r="E178" s="54" t="s">
        <v>247</v>
      </c>
      <c r="F178" s="55">
        <v>16.5</v>
      </c>
      <c r="H178" s="79"/>
      <c r="I178" s="80"/>
    </row>
    <row r="179" spans="1:10" x14ac:dyDescent="0.4">
      <c r="A179" s="54"/>
      <c r="B179" s="54"/>
      <c r="C179" s="55"/>
      <c r="D179" s="54" t="s">
        <v>206</v>
      </c>
      <c r="E179" s="54" t="s">
        <v>248</v>
      </c>
      <c r="F179" s="55">
        <f>190+16</f>
        <v>206</v>
      </c>
      <c r="H179" s="79"/>
      <c r="I179" s="80"/>
    </row>
    <row r="180" spans="1:10" x14ac:dyDescent="0.4">
      <c r="A180" s="54"/>
      <c r="B180" s="54"/>
      <c r="C180" s="55"/>
      <c r="D180" s="54" t="s">
        <v>150</v>
      </c>
      <c r="E180" s="54" t="s">
        <v>254</v>
      </c>
      <c r="F180" s="55">
        <v>19.75</v>
      </c>
      <c r="H180" s="79"/>
      <c r="I180" s="80"/>
    </row>
    <row r="181" spans="1:10" x14ac:dyDescent="0.4">
      <c r="A181" s="93">
        <v>45228</v>
      </c>
      <c r="B181" s="54" t="s">
        <v>84</v>
      </c>
      <c r="C181" s="55">
        <f>SUM(F181:F182)</f>
        <v>18</v>
      </c>
      <c r="D181" s="54" t="s">
        <v>33</v>
      </c>
      <c r="E181" s="54">
        <v>9</v>
      </c>
      <c r="F181" s="55">
        <v>9</v>
      </c>
      <c r="H181" s="79"/>
      <c r="I181" s="80"/>
    </row>
    <row r="182" spans="1:10" x14ac:dyDescent="0.4">
      <c r="A182" s="12"/>
      <c r="B182" s="54"/>
      <c r="C182" s="55"/>
      <c r="D182" s="54" t="s">
        <v>150</v>
      </c>
      <c r="E182" s="54" t="s">
        <v>253</v>
      </c>
      <c r="F182" s="55">
        <v>9</v>
      </c>
      <c r="H182" s="79"/>
      <c r="I182" s="80"/>
    </row>
    <row r="183" spans="1:10" x14ac:dyDescent="0.4">
      <c r="A183" s="93">
        <v>45229</v>
      </c>
      <c r="B183" s="54" t="s">
        <v>88</v>
      </c>
      <c r="C183" s="55">
        <v>25</v>
      </c>
      <c r="D183" s="54" t="s">
        <v>33</v>
      </c>
      <c r="E183" s="54" t="s">
        <v>240</v>
      </c>
      <c r="F183" s="55">
        <v>25</v>
      </c>
      <c r="H183" s="79"/>
      <c r="I183" s="80"/>
    </row>
    <row r="184" spans="1:10" x14ac:dyDescent="0.4">
      <c r="A184" s="93">
        <v>45230</v>
      </c>
      <c r="B184" s="54" t="s">
        <v>23</v>
      </c>
      <c r="C184" s="55">
        <v>25</v>
      </c>
      <c r="D184" s="54" t="s">
        <v>33</v>
      </c>
      <c r="E184" s="54" t="s">
        <v>240</v>
      </c>
      <c r="F184" s="89">
        <v>25</v>
      </c>
      <c r="G184" s="74"/>
      <c r="H184" s="137" t="s">
        <v>271</v>
      </c>
      <c r="I184" s="143"/>
    </row>
    <row r="185" spans="1:10" x14ac:dyDescent="0.4">
      <c r="A185" s="57"/>
      <c r="B185" s="58"/>
      <c r="C185" s="89"/>
      <c r="D185" s="58">
        <f t="shared" ref="D185:F185" si="0">SUBTOTAL(109,D119:D184)</f>
        <v>0</v>
      </c>
      <c r="E185" s="58">
        <f t="shared" si="0"/>
        <v>9</v>
      </c>
      <c r="F185" s="100">
        <f t="shared" si="0"/>
        <v>1764.49</v>
      </c>
      <c r="G185" s="65"/>
      <c r="H185" s="144"/>
      <c r="I185" s="145"/>
      <c r="J185" s="65"/>
    </row>
    <row r="186" spans="1:10" x14ac:dyDescent="0.4">
      <c r="A186" s="90"/>
      <c r="B186" s="91"/>
      <c r="C186" s="92"/>
      <c r="D186" s="91"/>
      <c r="E186" s="91"/>
      <c r="F186" s="92"/>
      <c r="G186" s="65"/>
      <c r="H186" s="144"/>
      <c r="I186" s="145"/>
      <c r="J186" s="65"/>
    </row>
    <row r="187" spans="1:10" x14ac:dyDescent="0.4">
      <c r="A187" s="90"/>
      <c r="B187" s="91"/>
      <c r="C187" s="92"/>
      <c r="D187" s="91"/>
      <c r="E187" s="91"/>
      <c r="F187" s="92"/>
      <c r="G187" s="65"/>
      <c r="H187" s="144"/>
      <c r="I187" s="145"/>
      <c r="J187" s="65"/>
    </row>
    <row r="188" spans="1:10" x14ac:dyDescent="0.4">
      <c r="A188" s="90"/>
      <c r="B188" s="91"/>
      <c r="C188" s="92"/>
      <c r="D188" s="91"/>
      <c r="E188" s="91"/>
      <c r="F188" s="92"/>
      <c r="G188" s="65"/>
      <c r="H188" s="144"/>
      <c r="I188" s="145"/>
      <c r="J188" s="65"/>
    </row>
    <row r="189" spans="1:10" x14ac:dyDescent="0.4">
      <c r="A189" s="90"/>
      <c r="B189" s="91"/>
      <c r="C189" s="92"/>
      <c r="D189" s="91"/>
      <c r="E189" s="91"/>
      <c r="F189" s="102"/>
      <c r="G189" s="65"/>
      <c r="H189" s="144"/>
      <c r="I189" s="145"/>
      <c r="J189" s="65"/>
    </row>
    <row r="190" spans="1:10" ht="77.650000000000006" customHeight="1" x14ac:dyDescent="0.4">
      <c r="A190" s="90"/>
      <c r="B190" s="91"/>
      <c r="C190" s="92"/>
      <c r="D190" s="91"/>
      <c r="E190" s="91"/>
      <c r="F190" s="92"/>
      <c r="G190" s="65"/>
      <c r="H190" s="144"/>
      <c r="I190" s="145"/>
      <c r="J190" s="65"/>
    </row>
    <row r="191" spans="1:10" ht="91.15" customHeight="1" x14ac:dyDescent="0.4">
      <c r="A191" s="50" t="s">
        <v>52</v>
      </c>
      <c r="B191" s="51" t="s">
        <v>53</v>
      </c>
      <c r="C191" s="52" t="s">
        <v>69</v>
      </c>
      <c r="D191" s="51" t="s">
        <v>64</v>
      </c>
      <c r="E191" s="51" t="s">
        <v>54</v>
      </c>
      <c r="F191" s="104" t="s">
        <v>55</v>
      </c>
      <c r="G191" s="65"/>
      <c r="H191" s="144"/>
      <c r="I191" s="145"/>
      <c r="J191" s="65"/>
    </row>
    <row r="192" spans="1:10" ht="35.65" customHeight="1" x14ac:dyDescent="0.4">
      <c r="A192" s="26" t="s">
        <v>271</v>
      </c>
      <c r="B192" s="60"/>
      <c r="C192" s="61"/>
      <c r="D192" s="60"/>
      <c r="E192" s="60"/>
      <c r="F192" s="98"/>
      <c r="G192" s="94"/>
      <c r="H192" s="144"/>
      <c r="I192" s="145"/>
    </row>
    <row r="193" spans="1:9" x14ac:dyDescent="0.4">
      <c r="A193" s="23">
        <v>45231</v>
      </c>
      <c r="B193" s="54" t="s">
        <v>30</v>
      </c>
      <c r="C193" s="55">
        <v>25</v>
      </c>
      <c r="D193" s="54" t="s">
        <v>33</v>
      </c>
      <c r="E193" s="54" t="s">
        <v>272</v>
      </c>
      <c r="F193" s="56">
        <f>6+7+12</f>
        <v>25</v>
      </c>
      <c r="G193" s="94"/>
      <c r="H193" s="146"/>
      <c r="I193" s="147"/>
    </row>
    <row r="194" spans="1:9" hidden="1" x14ac:dyDescent="0.4">
      <c r="A194" s="59"/>
      <c r="B194" s="54"/>
      <c r="C194" s="55"/>
      <c r="D194" s="54"/>
      <c r="E194" s="54"/>
      <c r="F194" s="56"/>
      <c r="H194" s="79"/>
      <c r="I194" s="80"/>
    </row>
    <row r="195" spans="1:9" x14ac:dyDescent="0.4">
      <c r="A195" s="53">
        <v>45232</v>
      </c>
      <c r="B195" s="95" t="s">
        <v>34</v>
      </c>
      <c r="C195" s="96">
        <f>SUM(F195:F196)</f>
        <v>27.25</v>
      </c>
      <c r="D195" s="95" t="s">
        <v>33</v>
      </c>
      <c r="E195" s="95" t="s">
        <v>240</v>
      </c>
      <c r="F195" s="99">
        <f>3+10+12</f>
        <v>25</v>
      </c>
      <c r="H195" s="79"/>
      <c r="I195" s="80"/>
    </row>
    <row r="196" spans="1:9" x14ac:dyDescent="0.4">
      <c r="A196" s="22"/>
      <c r="B196" s="12"/>
      <c r="C196" s="107"/>
      <c r="D196" s="12" t="s">
        <v>196</v>
      </c>
      <c r="E196" s="12" t="s">
        <v>37</v>
      </c>
      <c r="F196" s="105">
        <v>2.25</v>
      </c>
      <c r="H196" s="79"/>
      <c r="I196" s="80"/>
    </row>
    <row r="197" spans="1:9" x14ac:dyDescent="0.4">
      <c r="A197" s="23">
        <v>45233</v>
      </c>
      <c r="B197" s="12" t="s">
        <v>61</v>
      </c>
      <c r="C197" s="107">
        <f>SUM(F197:F199)</f>
        <v>47.9</v>
      </c>
      <c r="D197" s="12" t="s">
        <v>150</v>
      </c>
      <c r="E197" s="12" t="s">
        <v>273</v>
      </c>
      <c r="F197" s="105">
        <v>9.9</v>
      </c>
      <c r="H197" s="82" t="s">
        <v>255</v>
      </c>
      <c r="I197" s="83" t="s">
        <v>212</v>
      </c>
    </row>
    <row r="198" spans="1:9" x14ac:dyDescent="0.4">
      <c r="A198" s="22"/>
      <c r="B198" s="12"/>
      <c r="C198" s="107"/>
      <c r="D198" s="12" t="s">
        <v>33</v>
      </c>
      <c r="E198" s="12" t="s">
        <v>199</v>
      </c>
      <c r="F198" s="105">
        <v>13</v>
      </c>
      <c r="H198" s="84" t="s">
        <v>213</v>
      </c>
      <c r="I198" s="83">
        <v>716.3</v>
      </c>
    </row>
    <row r="199" spans="1:9" x14ac:dyDescent="0.4">
      <c r="A199" s="22"/>
      <c r="B199" s="12"/>
      <c r="C199" s="107"/>
      <c r="D199" s="12" t="s">
        <v>33</v>
      </c>
      <c r="E199" s="12" t="s">
        <v>274</v>
      </c>
      <c r="F199" s="105">
        <v>25</v>
      </c>
      <c r="H199" s="84" t="s">
        <v>321</v>
      </c>
      <c r="I199" s="83">
        <v>20</v>
      </c>
    </row>
    <row r="200" spans="1:9" x14ac:dyDescent="0.4">
      <c r="A200" s="23">
        <v>45234</v>
      </c>
      <c r="B200" s="12" t="s">
        <v>65</v>
      </c>
      <c r="C200" s="107">
        <f>表7[[#This Row],[支出]]</f>
        <v>23.9</v>
      </c>
      <c r="D200" s="12" t="s">
        <v>33</v>
      </c>
      <c r="E200" s="12" t="s">
        <v>275</v>
      </c>
      <c r="F200" s="105">
        <f>11.9+12</f>
        <v>23.9</v>
      </c>
      <c r="H200" s="84" t="s">
        <v>214</v>
      </c>
      <c r="I200" s="83">
        <v>91.5</v>
      </c>
    </row>
    <row r="201" spans="1:9" x14ac:dyDescent="0.4">
      <c r="A201" s="23">
        <v>45235</v>
      </c>
      <c r="B201" s="12" t="s">
        <v>84</v>
      </c>
      <c r="C201" s="107">
        <f>表7[[#This Row],[支出]]+F202+F203</f>
        <v>43.15</v>
      </c>
      <c r="D201" s="12" t="s">
        <v>196</v>
      </c>
      <c r="E201" s="12" t="s">
        <v>37</v>
      </c>
      <c r="F201" s="105">
        <v>2.25</v>
      </c>
      <c r="H201" s="84" t="s">
        <v>259</v>
      </c>
      <c r="I201" s="83">
        <v>8</v>
      </c>
    </row>
    <row r="202" spans="1:9" x14ac:dyDescent="0.4">
      <c r="A202" s="22"/>
      <c r="B202" s="12"/>
      <c r="C202" s="107"/>
      <c r="D202" s="12" t="s">
        <v>33</v>
      </c>
      <c r="E202" s="12" t="s">
        <v>276</v>
      </c>
      <c r="F202" s="105">
        <f>5+9+12</f>
        <v>26</v>
      </c>
      <c r="H202" s="84" t="s">
        <v>322</v>
      </c>
      <c r="I202" s="83">
        <v>0.04</v>
      </c>
    </row>
    <row r="203" spans="1:9" x14ac:dyDescent="0.4">
      <c r="A203" s="22"/>
      <c r="B203" s="12"/>
      <c r="C203" s="107"/>
      <c r="D203" s="12" t="s">
        <v>277</v>
      </c>
      <c r="E203" s="12" t="s">
        <v>278</v>
      </c>
      <c r="F203" s="105">
        <v>14.9</v>
      </c>
      <c r="H203" s="84" t="s">
        <v>323</v>
      </c>
      <c r="I203" s="83">
        <v>14.9</v>
      </c>
    </row>
    <row r="204" spans="1:9" x14ac:dyDescent="0.4">
      <c r="A204" s="23">
        <v>45236</v>
      </c>
      <c r="B204" s="12" t="s">
        <v>88</v>
      </c>
      <c r="C204" s="107">
        <f>表7[[#This Row],[支出]]</f>
        <v>23</v>
      </c>
      <c r="D204" s="12" t="s">
        <v>33</v>
      </c>
      <c r="E204" s="12" t="s">
        <v>279</v>
      </c>
      <c r="F204" s="105">
        <f>3+10+10</f>
        <v>23</v>
      </c>
      <c r="H204" s="84" t="s">
        <v>262</v>
      </c>
      <c r="I204" s="83">
        <v>182.93</v>
      </c>
    </row>
    <row r="205" spans="1:9" x14ac:dyDescent="0.4">
      <c r="A205" s="23">
        <v>45237</v>
      </c>
      <c r="B205" s="12" t="s">
        <v>23</v>
      </c>
      <c r="C205" s="107">
        <f>表7[[#This Row],[支出]]</f>
        <v>27</v>
      </c>
      <c r="D205" s="12" t="s">
        <v>33</v>
      </c>
      <c r="E205" s="12" t="s">
        <v>234</v>
      </c>
      <c r="F205" s="105">
        <f>3+12+12</f>
        <v>27</v>
      </c>
      <c r="H205" s="84" t="s">
        <v>116</v>
      </c>
      <c r="I205" s="83">
        <v>31.7</v>
      </c>
    </row>
    <row r="206" spans="1:9" x14ac:dyDescent="0.4">
      <c r="A206" s="23">
        <v>45238</v>
      </c>
      <c r="B206" s="12" t="s">
        <v>30</v>
      </c>
      <c r="C206" s="107">
        <f>表7[[#This Row],[支出]]</f>
        <v>26.5</v>
      </c>
      <c r="D206" s="12" t="s">
        <v>33</v>
      </c>
      <c r="E206" s="12" t="s">
        <v>251</v>
      </c>
      <c r="F206" s="105">
        <f>4.5+10+12</f>
        <v>26.5</v>
      </c>
      <c r="H206" s="84" t="s">
        <v>114</v>
      </c>
      <c r="I206" s="83">
        <v>77</v>
      </c>
    </row>
    <row r="207" spans="1:9" x14ac:dyDescent="0.4">
      <c r="A207" s="23">
        <v>45239</v>
      </c>
      <c r="B207" s="12" t="s">
        <v>34</v>
      </c>
      <c r="C207" s="107">
        <f>SUM(F207:F208)</f>
        <v>30.25</v>
      </c>
      <c r="D207" s="12" t="s">
        <v>33</v>
      </c>
      <c r="E207" s="12" t="s">
        <v>280</v>
      </c>
      <c r="F207" s="105">
        <f>7+9+12</f>
        <v>28</v>
      </c>
      <c r="H207" s="84" t="s">
        <v>265</v>
      </c>
      <c r="I207" s="83">
        <v>18</v>
      </c>
    </row>
    <row r="208" spans="1:9" x14ac:dyDescent="0.4">
      <c r="A208" s="23"/>
      <c r="B208" s="54"/>
      <c r="C208" s="55"/>
      <c r="D208" s="54" t="s">
        <v>196</v>
      </c>
      <c r="E208" s="54" t="s">
        <v>37</v>
      </c>
      <c r="F208" s="56">
        <v>2.25</v>
      </c>
      <c r="H208" s="84" t="s">
        <v>266</v>
      </c>
      <c r="I208" s="83">
        <v>372.07</v>
      </c>
    </row>
    <row r="209" spans="1:9" x14ac:dyDescent="0.4">
      <c r="A209" s="23">
        <v>45240</v>
      </c>
      <c r="B209" s="12" t="s">
        <v>61</v>
      </c>
      <c r="C209" s="107">
        <f>SUM(F209:F211)</f>
        <v>42.980000000000004</v>
      </c>
      <c r="D209" s="12" t="s">
        <v>33</v>
      </c>
      <c r="E209" s="12" t="s">
        <v>282</v>
      </c>
      <c r="F209" s="105">
        <f>5+9+12</f>
        <v>26</v>
      </c>
      <c r="H209" s="84" t="s">
        <v>216</v>
      </c>
      <c r="I209" s="83"/>
    </row>
    <row r="210" spans="1:9" x14ac:dyDescent="0.4">
      <c r="A210" s="23"/>
      <c r="B210" s="54"/>
      <c r="C210" s="55"/>
      <c r="D210" s="54" t="s">
        <v>127</v>
      </c>
      <c r="E210" s="54" t="s">
        <v>283</v>
      </c>
      <c r="F210" s="56">
        <v>2.98</v>
      </c>
      <c r="H210" s="84" t="s">
        <v>256</v>
      </c>
      <c r="I210" s="83">
        <v>1532.4399999999998</v>
      </c>
    </row>
    <row r="211" spans="1:9" x14ac:dyDescent="0.4">
      <c r="A211" s="23"/>
      <c r="B211" s="54"/>
      <c r="C211" s="55"/>
      <c r="D211" s="54" t="s">
        <v>150</v>
      </c>
      <c r="E211" s="54" t="s">
        <v>290</v>
      </c>
      <c r="F211" s="56">
        <v>14</v>
      </c>
      <c r="H211" s="79"/>
      <c r="I211" s="80"/>
    </row>
    <row r="212" spans="1:9" x14ac:dyDescent="0.4">
      <c r="A212" s="23">
        <v>45241</v>
      </c>
      <c r="B212" s="12" t="s">
        <v>65</v>
      </c>
      <c r="C212" s="107">
        <f>SUM(F212:F214)</f>
        <v>139.63</v>
      </c>
      <c r="D212" s="12" t="s">
        <v>33</v>
      </c>
      <c r="E212" s="12" t="s">
        <v>281</v>
      </c>
      <c r="F212" s="105">
        <f>5+10</f>
        <v>15</v>
      </c>
      <c r="H212" s="79"/>
      <c r="I212" s="80"/>
    </row>
    <row r="213" spans="1:9" x14ac:dyDescent="0.4">
      <c r="A213" s="22"/>
      <c r="B213" s="12"/>
      <c r="C213" s="107"/>
      <c r="D213" s="12" t="s">
        <v>284</v>
      </c>
      <c r="E213" s="12" t="s">
        <v>285</v>
      </c>
      <c r="F213" s="105">
        <v>20</v>
      </c>
      <c r="H213" s="79"/>
      <c r="I213" s="80"/>
    </row>
    <row r="214" spans="1:9" x14ac:dyDescent="0.4">
      <c r="A214" s="22"/>
      <c r="B214" s="12"/>
      <c r="C214" s="107"/>
      <c r="D214" s="12" t="s">
        <v>206</v>
      </c>
      <c r="E214" s="12" t="s">
        <v>286</v>
      </c>
      <c r="F214" s="105">
        <f>103.5+1.13</f>
        <v>104.63</v>
      </c>
      <c r="H214" s="79"/>
      <c r="I214" s="80"/>
    </row>
    <row r="215" spans="1:9" x14ac:dyDescent="0.4">
      <c r="A215" s="23">
        <v>45242</v>
      </c>
      <c r="B215" s="12" t="s">
        <v>84</v>
      </c>
      <c r="C215" s="107">
        <f>SUM(F215:F217)</f>
        <v>31.12</v>
      </c>
      <c r="D215" s="12" t="s">
        <v>33</v>
      </c>
      <c r="E215" s="12" t="s">
        <v>287</v>
      </c>
      <c r="F215" s="105">
        <v>0</v>
      </c>
      <c r="H215" s="79"/>
      <c r="I215" s="80"/>
    </row>
    <row r="216" spans="1:9" x14ac:dyDescent="0.4">
      <c r="A216" s="22"/>
      <c r="B216" s="12"/>
      <c r="C216" s="107"/>
      <c r="D216" s="12" t="s">
        <v>115</v>
      </c>
      <c r="E216" s="12" t="s">
        <v>288</v>
      </c>
      <c r="F216" s="105">
        <v>28.6</v>
      </c>
      <c r="H216" s="79"/>
      <c r="I216" s="80"/>
    </row>
    <row r="217" spans="1:9" x14ac:dyDescent="0.4">
      <c r="A217" s="22"/>
      <c r="B217" s="54"/>
      <c r="C217" s="55"/>
      <c r="D217" s="54" t="s">
        <v>127</v>
      </c>
      <c r="E217" s="54" t="s">
        <v>289</v>
      </c>
      <c r="F217" s="56">
        <v>2.52</v>
      </c>
      <c r="H217" s="79"/>
      <c r="I217" s="80"/>
    </row>
    <row r="218" spans="1:9" x14ac:dyDescent="0.4">
      <c r="A218" s="23">
        <v>45243</v>
      </c>
      <c r="B218" s="54" t="s">
        <v>88</v>
      </c>
      <c r="C218" s="55">
        <v>25.04</v>
      </c>
      <c r="D218" s="54" t="s">
        <v>33</v>
      </c>
      <c r="E218" s="54" t="s">
        <v>240</v>
      </c>
      <c r="F218" s="56">
        <v>25</v>
      </c>
      <c r="H218" s="79"/>
      <c r="I218" s="80"/>
    </row>
    <row r="219" spans="1:9" x14ac:dyDescent="0.4">
      <c r="A219" s="22"/>
      <c r="B219" s="54"/>
      <c r="C219" s="55"/>
      <c r="D219" s="54" t="s">
        <v>291</v>
      </c>
      <c r="E219" s="54">
        <v>0.04</v>
      </c>
      <c r="F219" s="56">
        <v>0.04</v>
      </c>
      <c r="H219" s="79"/>
      <c r="I219" s="80"/>
    </row>
    <row r="220" spans="1:9" x14ac:dyDescent="0.4">
      <c r="A220" s="23">
        <v>45244</v>
      </c>
      <c r="B220" s="54" t="s">
        <v>23</v>
      </c>
      <c r="C220" s="55">
        <f>24+9</f>
        <v>33</v>
      </c>
      <c r="D220" s="54" t="s">
        <v>33</v>
      </c>
      <c r="E220" s="54" t="s">
        <v>220</v>
      </c>
      <c r="F220" s="56">
        <f>3+9+12</f>
        <v>24</v>
      </c>
      <c r="H220" s="79"/>
      <c r="I220" s="80"/>
    </row>
    <row r="221" spans="1:9" x14ac:dyDescent="0.4">
      <c r="A221" s="22"/>
      <c r="B221" s="54"/>
      <c r="C221" s="55"/>
      <c r="D221" s="54" t="s">
        <v>196</v>
      </c>
      <c r="E221" s="54" t="s">
        <v>37</v>
      </c>
      <c r="F221" s="56">
        <v>2.25</v>
      </c>
      <c r="H221" s="79"/>
      <c r="I221" s="80"/>
    </row>
    <row r="222" spans="1:9" x14ac:dyDescent="0.4">
      <c r="A222" s="23">
        <v>45245</v>
      </c>
      <c r="B222" s="54" t="s">
        <v>30</v>
      </c>
      <c r="C222" s="55">
        <v>27</v>
      </c>
      <c r="D222" s="54" t="s">
        <v>33</v>
      </c>
      <c r="E222" s="54" t="s">
        <v>292</v>
      </c>
      <c r="F222" s="56">
        <v>27</v>
      </c>
      <c r="H222" s="79"/>
      <c r="I222" s="80"/>
    </row>
    <row r="223" spans="1:9" x14ac:dyDescent="0.4">
      <c r="A223" s="23">
        <v>45246</v>
      </c>
      <c r="B223" s="54" t="s">
        <v>34</v>
      </c>
      <c r="C223" s="55">
        <f>SUM(F223:F224)</f>
        <v>30.7</v>
      </c>
      <c r="D223" s="54" t="s">
        <v>33</v>
      </c>
      <c r="E223" s="54" t="s">
        <v>249</v>
      </c>
      <c r="F223" s="56">
        <f>5+12+12</f>
        <v>29</v>
      </c>
      <c r="H223" s="79"/>
      <c r="I223" s="80"/>
    </row>
    <row r="224" spans="1:9" x14ac:dyDescent="0.4">
      <c r="A224" s="22"/>
      <c r="B224" s="54"/>
      <c r="C224" s="55"/>
      <c r="D224" s="54" t="s">
        <v>127</v>
      </c>
      <c r="E224" s="54" t="s">
        <v>293</v>
      </c>
      <c r="F224" s="56">
        <v>1.7</v>
      </c>
      <c r="H224" s="79"/>
      <c r="I224" s="80"/>
    </row>
    <row r="225" spans="1:9" x14ac:dyDescent="0.4">
      <c r="A225" s="23">
        <v>45247</v>
      </c>
      <c r="B225" s="54" t="s">
        <v>61</v>
      </c>
      <c r="C225" s="55">
        <f>SUM(F225:F227)</f>
        <v>54</v>
      </c>
      <c r="D225" s="54" t="s">
        <v>150</v>
      </c>
      <c r="E225" s="54" t="s">
        <v>298</v>
      </c>
      <c r="F225" s="56">
        <v>12</v>
      </c>
      <c r="H225" s="79"/>
      <c r="I225" s="80"/>
    </row>
    <row r="226" spans="1:9" x14ac:dyDescent="0.4">
      <c r="A226" s="23"/>
      <c r="B226" s="54"/>
      <c r="C226" s="55"/>
      <c r="D226" s="54" t="s">
        <v>33</v>
      </c>
      <c r="E226" s="54" t="s">
        <v>295</v>
      </c>
      <c r="F226" s="56">
        <v>24</v>
      </c>
      <c r="H226" s="79"/>
      <c r="I226" s="80"/>
    </row>
    <row r="227" spans="1:9" x14ac:dyDescent="0.4">
      <c r="A227" s="22"/>
      <c r="B227" s="54"/>
      <c r="C227" s="55"/>
      <c r="D227" s="54" t="s">
        <v>127</v>
      </c>
      <c r="E227" s="54" t="s">
        <v>294</v>
      </c>
      <c r="F227" s="56">
        <v>18</v>
      </c>
      <c r="H227" s="79"/>
      <c r="I227" s="80"/>
    </row>
    <row r="228" spans="1:9" x14ac:dyDescent="0.4">
      <c r="A228" s="23">
        <v>45248</v>
      </c>
      <c r="B228" s="54" t="s">
        <v>84</v>
      </c>
      <c r="C228" s="55">
        <v>372.07</v>
      </c>
      <c r="D228" s="54" t="s">
        <v>224</v>
      </c>
      <c r="E228" s="54" t="s">
        <v>111</v>
      </c>
      <c r="F228" s="56">
        <v>372.07</v>
      </c>
      <c r="H228" s="79"/>
      <c r="I228" s="80"/>
    </row>
    <row r="229" spans="1:9" x14ac:dyDescent="0.4">
      <c r="A229" s="23">
        <v>45249</v>
      </c>
      <c r="B229" s="54" t="s">
        <v>65</v>
      </c>
      <c r="C229" s="55">
        <f>SUM(F229:F230)</f>
        <v>18</v>
      </c>
      <c r="D229" s="54" t="s">
        <v>150</v>
      </c>
      <c r="E229" s="54" t="s">
        <v>299</v>
      </c>
      <c r="F229" s="56">
        <v>10</v>
      </c>
      <c r="H229" s="79"/>
      <c r="I229" s="80"/>
    </row>
    <row r="230" spans="1:9" x14ac:dyDescent="0.4">
      <c r="A230" s="23"/>
      <c r="B230" s="54"/>
      <c r="C230" s="55"/>
      <c r="D230" s="54" t="s">
        <v>33</v>
      </c>
      <c r="E230" s="54">
        <v>8</v>
      </c>
      <c r="F230" s="56">
        <v>8</v>
      </c>
      <c r="H230" s="79"/>
      <c r="I230" s="80"/>
    </row>
    <row r="231" spans="1:9" x14ac:dyDescent="0.4">
      <c r="A231" s="23">
        <v>45250</v>
      </c>
      <c r="B231" s="54" t="s">
        <v>88</v>
      </c>
      <c r="C231" s="55">
        <f>SUM(F231:F232)</f>
        <v>27.25</v>
      </c>
      <c r="D231" s="54" t="s">
        <v>196</v>
      </c>
      <c r="E231" s="54" t="s">
        <v>37</v>
      </c>
      <c r="F231" s="56">
        <v>2.25</v>
      </c>
      <c r="G231" s="94"/>
      <c r="H231" s="79"/>
      <c r="I231" s="80"/>
    </row>
    <row r="232" spans="1:9" x14ac:dyDescent="0.4">
      <c r="A232" s="23"/>
      <c r="B232" s="54"/>
      <c r="C232" s="55"/>
      <c r="D232" s="54" t="s">
        <v>33</v>
      </c>
      <c r="E232" s="54" t="s">
        <v>296</v>
      </c>
      <c r="F232" s="56">
        <v>25</v>
      </c>
      <c r="H232" s="79"/>
      <c r="I232" s="80"/>
    </row>
    <row r="233" spans="1:9" x14ac:dyDescent="0.4">
      <c r="A233" s="23">
        <v>45251</v>
      </c>
      <c r="B233" s="54" t="s">
        <v>23</v>
      </c>
      <c r="C233" s="55">
        <v>29.3</v>
      </c>
      <c r="D233" s="54" t="s">
        <v>33</v>
      </c>
      <c r="E233" s="54" t="s">
        <v>297</v>
      </c>
      <c r="F233" s="56">
        <f>5.5+9+14.8</f>
        <v>29.3</v>
      </c>
      <c r="H233" s="79"/>
      <c r="I233" s="80"/>
    </row>
    <row r="234" spans="1:9" x14ac:dyDescent="0.4">
      <c r="A234" s="23">
        <v>45252</v>
      </c>
      <c r="B234" s="54" t="s">
        <v>30</v>
      </c>
      <c r="C234" s="55">
        <f>SUM(F234:F236)</f>
        <v>104.6</v>
      </c>
      <c r="D234" s="54" t="s">
        <v>33</v>
      </c>
      <c r="E234" s="54" t="s">
        <v>300</v>
      </c>
      <c r="F234" s="56">
        <v>20</v>
      </c>
      <c r="H234" s="79"/>
      <c r="I234" s="80"/>
    </row>
    <row r="235" spans="1:9" x14ac:dyDescent="0.4">
      <c r="A235" s="22"/>
      <c r="B235" s="54"/>
      <c r="C235" s="55"/>
      <c r="D235" s="54" t="s">
        <v>206</v>
      </c>
      <c r="E235" s="54" t="s">
        <v>301</v>
      </c>
      <c r="F235" s="56">
        <v>45</v>
      </c>
      <c r="H235" s="79"/>
      <c r="I235" s="80"/>
    </row>
    <row r="236" spans="1:9" x14ac:dyDescent="0.4">
      <c r="A236" s="22"/>
      <c r="B236" s="54"/>
      <c r="C236" s="55"/>
      <c r="D236" s="54" t="s">
        <v>150</v>
      </c>
      <c r="E236" s="54" t="s">
        <v>302</v>
      </c>
      <c r="F236" s="56">
        <f>19.8+19.8</f>
        <v>39.6</v>
      </c>
      <c r="H236" s="79"/>
      <c r="I236" s="80"/>
    </row>
    <row r="237" spans="1:9" x14ac:dyDescent="0.4">
      <c r="A237" s="23">
        <v>45253</v>
      </c>
      <c r="B237" s="54" t="s">
        <v>34</v>
      </c>
      <c r="C237" s="55">
        <v>26</v>
      </c>
      <c r="D237" s="54" t="s">
        <v>33</v>
      </c>
      <c r="E237" s="54" t="s">
        <v>310</v>
      </c>
      <c r="F237" s="56">
        <f>3+11+12</f>
        <v>26</v>
      </c>
      <c r="H237" s="79"/>
      <c r="I237" s="80"/>
    </row>
    <row r="238" spans="1:9" x14ac:dyDescent="0.4">
      <c r="A238" s="23">
        <v>45254</v>
      </c>
      <c r="B238" s="54" t="s">
        <v>61</v>
      </c>
      <c r="C238" s="55">
        <f>SUM(F238:F242)</f>
        <v>46.55</v>
      </c>
      <c r="D238" s="54" t="s">
        <v>33</v>
      </c>
      <c r="E238" s="54" t="s">
        <v>307</v>
      </c>
      <c r="F238" s="56">
        <v>23.8</v>
      </c>
      <c r="H238" s="79"/>
      <c r="I238" s="80"/>
    </row>
    <row r="239" spans="1:9" x14ac:dyDescent="0.4">
      <c r="A239" s="22"/>
      <c r="B239" s="54"/>
      <c r="C239" s="55"/>
      <c r="D239" s="54" t="s">
        <v>196</v>
      </c>
      <c r="E239" s="54" t="s">
        <v>37</v>
      </c>
      <c r="F239" s="56">
        <v>2.25</v>
      </c>
      <c r="H239" s="79"/>
      <c r="I239" s="80"/>
    </row>
    <row r="240" spans="1:9" x14ac:dyDescent="0.4">
      <c r="A240" s="22"/>
      <c r="B240" s="54"/>
      <c r="C240" s="55"/>
      <c r="D240" s="54" t="s">
        <v>127</v>
      </c>
      <c r="E240" s="54" t="s">
        <v>308</v>
      </c>
      <c r="F240" s="56">
        <v>6.5</v>
      </c>
      <c r="H240" s="79"/>
      <c r="I240" s="80"/>
    </row>
    <row r="241" spans="1:9" x14ac:dyDescent="0.4">
      <c r="A241" s="22"/>
      <c r="B241" s="54"/>
      <c r="C241" s="55"/>
      <c r="D241" s="54" t="s">
        <v>150</v>
      </c>
      <c r="E241" s="54" t="s">
        <v>309</v>
      </c>
      <c r="F241" s="56">
        <v>6</v>
      </c>
      <c r="H241" s="79"/>
      <c r="I241" s="80"/>
    </row>
    <row r="242" spans="1:9" x14ac:dyDescent="0.4">
      <c r="A242" s="22"/>
      <c r="B242" s="54"/>
      <c r="C242" s="55"/>
      <c r="D242" s="54" t="s">
        <v>242</v>
      </c>
      <c r="E242" s="54" t="s">
        <v>273</v>
      </c>
      <c r="F242" s="56">
        <v>8</v>
      </c>
      <c r="H242" s="79"/>
      <c r="I242" s="80"/>
    </row>
    <row r="243" spans="1:9" x14ac:dyDescent="0.4">
      <c r="A243" s="23">
        <v>45255</v>
      </c>
      <c r="B243" s="54" t="s">
        <v>65</v>
      </c>
      <c r="C243" s="55">
        <f>SUM(F243:F244)</f>
        <v>64.199999999999989</v>
      </c>
      <c r="D243" s="54" t="s">
        <v>206</v>
      </c>
      <c r="E243" s="54" t="s">
        <v>312</v>
      </c>
      <c r="F243" s="56">
        <f>17.4+15.9</f>
        <v>33.299999999999997</v>
      </c>
      <c r="H243" s="79"/>
      <c r="I243" s="80"/>
    </row>
    <row r="244" spans="1:9" x14ac:dyDescent="0.4">
      <c r="A244" s="22"/>
      <c r="B244" s="54"/>
      <c r="C244" s="55"/>
      <c r="D244" s="54" t="s">
        <v>33</v>
      </c>
      <c r="E244" s="54" t="s">
        <v>313</v>
      </c>
      <c r="F244" s="56">
        <f>5+12+13.9</f>
        <v>30.9</v>
      </c>
      <c r="H244" s="79"/>
      <c r="I244" s="80"/>
    </row>
    <row r="245" spans="1:9" x14ac:dyDescent="0.4">
      <c r="A245" s="23">
        <v>45256</v>
      </c>
      <c r="B245" s="54" t="s">
        <v>84</v>
      </c>
      <c r="C245" s="55"/>
      <c r="D245" s="54" t="s">
        <v>33</v>
      </c>
      <c r="E245" s="54" t="s">
        <v>314</v>
      </c>
      <c r="F245" s="56">
        <v>26</v>
      </c>
      <c r="H245" s="79"/>
      <c r="I245" s="80"/>
    </row>
    <row r="246" spans="1:9" x14ac:dyDescent="0.4">
      <c r="A246" s="62">
        <v>45257</v>
      </c>
      <c r="B246" s="58" t="s">
        <v>88</v>
      </c>
      <c r="C246" s="89"/>
      <c r="D246" s="58" t="s">
        <v>33</v>
      </c>
      <c r="E246" s="58" t="s">
        <v>315</v>
      </c>
      <c r="F246" s="100">
        <v>30.9</v>
      </c>
      <c r="H246" s="79"/>
      <c r="I246" s="80"/>
    </row>
    <row r="247" spans="1:9" x14ac:dyDescent="0.4">
      <c r="A247" s="22"/>
      <c r="B247" s="54"/>
      <c r="C247" s="55"/>
      <c r="D247" s="54" t="s">
        <v>196</v>
      </c>
      <c r="E247" s="54" t="s">
        <v>37</v>
      </c>
      <c r="F247" s="56">
        <v>2.25</v>
      </c>
      <c r="H247" s="79"/>
      <c r="I247" s="80"/>
    </row>
    <row r="248" spans="1:9" x14ac:dyDescent="0.4">
      <c r="A248" s="23">
        <v>45258</v>
      </c>
      <c r="B248" s="54" t="s">
        <v>23</v>
      </c>
      <c r="C248" s="55">
        <f>表7[[#This Row],[支出]]</f>
        <v>29</v>
      </c>
      <c r="D248" s="54" t="s">
        <v>33</v>
      </c>
      <c r="E248" s="54" t="s">
        <v>316</v>
      </c>
      <c r="F248" s="56">
        <v>29</v>
      </c>
      <c r="H248" s="79"/>
      <c r="I248" s="80"/>
    </row>
    <row r="249" spans="1:9" x14ac:dyDescent="0.4">
      <c r="A249" s="23">
        <v>45259</v>
      </c>
      <c r="B249" s="54" t="s">
        <v>30</v>
      </c>
      <c r="C249" s="55">
        <f>SUM(F249:F250)</f>
        <v>36.799999999999997</v>
      </c>
      <c r="D249" s="54" t="s">
        <v>33</v>
      </c>
      <c r="E249" s="54" t="s">
        <v>252</v>
      </c>
      <c r="F249" s="56">
        <v>25</v>
      </c>
      <c r="H249" s="79"/>
      <c r="I249" s="80"/>
    </row>
    <row r="250" spans="1:9" x14ac:dyDescent="0.4">
      <c r="A250" s="22"/>
      <c r="B250" s="54"/>
      <c r="C250" s="55"/>
      <c r="D250" s="54" t="s">
        <v>115</v>
      </c>
      <c r="E250" s="54" t="s">
        <v>317</v>
      </c>
      <c r="F250" s="56">
        <v>11.8</v>
      </c>
      <c r="H250" s="79"/>
      <c r="I250" s="80"/>
    </row>
    <row r="251" spans="1:9" x14ac:dyDescent="0.4">
      <c r="A251" s="23">
        <v>45260</v>
      </c>
      <c r="B251" s="54" t="s">
        <v>34</v>
      </c>
      <c r="C251" s="55">
        <f>SUM(F251:F253)</f>
        <v>68.849999999999994</v>
      </c>
      <c r="D251" s="54" t="s">
        <v>196</v>
      </c>
      <c r="E251" s="54" t="s">
        <v>37</v>
      </c>
      <c r="F251" s="56">
        <v>2.25</v>
      </c>
      <c r="H251" s="79"/>
      <c r="I251" s="80"/>
    </row>
    <row r="252" spans="1:9" x14ac:dyDescent="0.4">
      <c r="A252" s="22"/>
      <c r="B252" s="54"/>
      <c r="C252" s="55"/>
      <c r="D252" s="54" t="s">
        <v>33</v>
      </c>
      <c r="E252" s="54" t="s">
        <v>318</v>
      </c>
      <c r="F252" s="56">
        <v>30</v>
      </c>
      <c r="H252" s="79"/>
      <c r="I252" s="80"/>
    </row>
    <row r="253" spans="1:9" x14ac:dyDescent="0.4">
      <c r="A253" s="24"/>
      <c r="B253" s="58"/>
      <c r="C253" s="89"/>
      <c r="D253" s="58" t="s">
        <v>115</v>
      </c>
      <c r="E253" s="58" t="s">
        <v>319</v>
      </c>
      <c r="F253" s="100">
        <v>36.6</v>
      </c>
      <c r="H253" s="79"/>
      <c r="I253" s="80"/>
    </row>
    <row r="254" spans="1:9" x14ac:dyDescent="0.4">
      <c r="A254" s="90"/>
      <c r="B254" s="91"/>
      <c r="C254" s="92"/>
      <c r="D254" s="91"/>
      <c r="E254" s="91"/>
      <c r="F254" s="92"/>
      <c r="H254" s="79"/>
      <c r="I254" s="80"/>
    </row>
    <row r="255" spans="1:9" x14ac:dyDescent="0.4">
      <c r="A255" s="90"/>
      <c r="B255" s="91"/>
      <c r="C255" s="92"/>
      <c r="D255" s="91"/>
      <c r="E255" s="91"/>
      <c r="F255" s="92"/>
      <c r="H255" s="79"/>
      <c r="I255" s="80"/>
    </row>
    <row r="256" spans="1:9" x14ac:dyDescent="0.4">
      <c r="A256" s="90"/>
      <c r="B256" s="91"/>
      <c r="C256" s="92"/>
      <c r="D256" s="91"/>
      <c r="E256" s="91"/>
      <c r="F256" s="92"/>
      <c r="H256" s="79"/>
      <c r="I256" s="80"/>
    </row>
    <row r="257" spans="1:9" x14ac:dyDescent="0.4">
      <c r="A257" s="90"/>
      <c r="B257" s="91"/>
      <c r="C257" s="92"/>
      <c r="D257" s="91"/>
      <c r="E257" s="91"/>
      <c r="F257" s="92"/>
      <c r="H257" s="79"/>
      <c r="I257" s="80"/>
    </row>
    <row r="258" spans="1:9" x14ac:dyDescent="0.4">
      <c r="A258" s="90"/>
      <c r="B258" s="91"/>
      <c r="C258" s="92"/>
      <c r="D258" s="91"/>
      <c r="E258" s="91"/>
      <c r="F258" s="92"/>
      <c r="H258" s="79"/>
      <c r="I258" s="80"/>
    </row>
    <row r="259" spans="1:9" x14ac:dyDescent="0.4">
      <c r="A259" s="90"/>
      <c r="B259" s="91"/>
      <c r="C259" s="92"/>
      <c r="D259" s="91"/>
      <c r="E259" s="91"/>
      <c r="F259" s="92"/>
      <c r="H259" s="79"/>
      <c r="I259" s="80"/>
    </row>
    <row r="260" spans="1:9" x14ac:dyDescent="0.4">
      <c r="A260" s="90"/>
      <c r="B260" s="91"/>
      <c r="C260" s="92"/>
      <c r="D260" s="91"/>
      <c r="E260" s="91"/>
      <c r="F260" s="92"/>
      <c r="H260" s="79"/>
      <c r="I260" s="80"/>
    </row>
    <row r="261" spans="1:9" ht="69" customHeight="1" x14ac:dyDescent="0.4">
      <c r="A261" s="110" t="s">
        <v>52</v>
      </c>
      <c r="B261" s="108" t="s">
        <v>53</v>
      </c>
      <c r="C261" s="109" t="s">
        <v>69</v>
      </c>
      <c r="D261" s="108" t="s">
        <v>64</v>
      </c>
      <c r="E261" s="108" t="s">
        <v>54</v>
      </c>
      <c r="F261" s="111" t="s">
        <v>55</v>
      </c>
      <c r="G261" s="108" t="s">
        <v>353</v>
      </c>
      <c r="H261" s="130" t="s">
        <v>320</v>
      </c>
      <c r="I261" s="131"/>
    </row>
    <row r="262" spans="1:9" ht="40.15" customHeight="1" x14ac:dyDescent="0.4">
      <c r="A262" s="40" t="s">
        <v>320</v>
      </c>
      <c r="B262" s="112"/>
      <c r="C262" s="113"/>
      <c r="D262" s="112"/>
      <c r="E262" s="112"/>
      <c r="F262" s="114"/>
      <c r="G262" s="115"/>
      <c r="H262" s="131"/>
      <c r="I262" s="131"/>
    </row>
    <row r="263" spans="1:9" x14ac:dyDescent="0.4">
      <c r="A263" s="23">
        <v>45261</v>
      </c>
      <c r="B263" s="54" t="s">
        <v>61</v>
      </c>
      <c r="C263" s="55">
        <f>SUM(F263:F265)</f>
        <v>56.8</v>
      </c>
      <c r="D263" s="54" t="s">
        <v>325</v>
      </c>
      <c r="E263" s="54" t="s">
        <v>326</v>
      </c>
      <c r="F263" s="56">
        <v>15</v>
      </c>
      <c r="G263" s="54"/>
      <c r="H263" s="131"/>
      <c r="I263" s="131"/>
    </row>
    <row r="264" spans="1:9" x14ac:dyDescent="0.4">
      <c r="A264" s="22"/>
      <c r="B264" s="54"/>
      <c r="C264" s="55"/>
      <c r="D264" s="54" t="s">
        <v>325</v>
      </c>
      <c r="E264" s="54" t="s">
        <v>327</v>
      </c>
      <c r="F264" s="56">
        <v>12.8</v>
      </c>
      <c r="G264" s="54"/>
      <c r="H264" s="131"/>
      <c r="I264" s="131"/>
    </row>
    <row r="265" spans="1:9" x14ac:dyDescent="0.4">
      <c r="A265" s="22"/>
      <c r="B265" s="54"/>
      <c r="C265" s="55"/>
      <c r="D265" s="54" t="s">
        <v>33</v>
      </c>
      <c r="E265" s="54" t="s">
        <v>249</v>
      </c>
      <c r="F265" s="56">
        <v>29</v>
      </c>
      <c r="G265" s="54"/>
      <c r="H265" s="131"/>
      <c r="I265" s="131"/>
    </row>
    <row r="266" spans="1:9" x14ac:dyDescent="0.4">
      <c r="A266" s="23">
        <v>45262</v>
      </c>
      <c r="B266" s="54" t="s">
        <v>65</v>
      </c>
      <c r="C266" s="55">
        <f>SUM(F266:F267)</f>
        <v>26</v>
      </c>
      <c r="D266" s="54" t="s">
        <v>33</v>
      </c>
      <c r="E266" s="54" t="s">
        <v>328</v>
      </c>
      <c r="F266" s="56">
        <v>16</v>
      </c>
      <c r="G266" s="54"/>
      <c r="H266" s="131"/>
      <c r="I266" s="131"/>
    </row>
    <row r="267" spans="1:9" x14ac:dyDescent="0.4">
      <c r="A267" s="22"/>
      <c r="B267" s="54"/>
      <c r="C267" s="55"/>
      <c r="D267" s="54" t="s">
        <v>150</v>
      </c>
      <c r="E267" s="54" t="s">
        <v>299</v>
      </c>
      <c r="F267" s="56">
        <v>10</v>
      </c>
      <c r="G267" s="54"/>
      <c r="H267" s="131"/>
      <c r="I267" s="131"/>
    </row>
    <row r="268" spans="1:9" x14ac:dyDescent="0.4">
      <c r="A268" s="23">
        <v>45263</v>
      </c>
      <c r="B268" s="54" t="s">
        <v>84</v>
      </c>
      <c r="C268" s="55">
        <f>SUM(F268:F269)</f>
        <v>32</v>
      </c>
      <c r="D268" s="54" t="s">
        <v>150</v>
      </c>
      <c r="E268" s="54" t="s">
        <v>329</v>
      </c>
      <c r="F268" s="56">
        <v>10</v>
      </c>
      <c r="G268" s="54"/>
      <c r="H268" s="131"/>
      <c r="I268" s="131"/>
    </row>
    <row r="269" spans="1:9" x14ac:dyDescent="0.4">
      <c r="A269" s="22"/>
      <c r="B269" s="54"/>
      <c r="C269" s="55"/>
      <c r="D269" s="54" t="s">
        <v>33</v>
      </c>
      <c r="E269" s="54" t="s">
        <v>330</v>
      </c>
      <c r="F269" s="56">
        <v>22</v>
      </c>
      <c r="G269" s="54"/>
      <c r="H269" s="131"/>
      <c r="I269" s="131"/>
    </row>
    <row r="270" spans="1:9" x14ac:dyDescent="0.4">
      <c r="A270" s="23">
        <v>45264</v>
      </c>
      <c r="B270" s="54" t="s">
        <v>88</v>
      </c>
      <c r="C270" s="55">
        <f>SUM(F270:F272)</f>
        <v>39.15</v>
      </c>
      <c r="D270" s="54" t="s">
        <v>33</v>
      </c>
      <c r="E270" s="54" t="s">
        <v>234</v>
      </c>
      <c r="F270" s="56">
        <v>27</v>
      </c>
      <c r="G270" s="54"/>
      <c r="H270" s="131"/>
      <c r="I270" s="131"/>
    </row>
    <row r="271" spans="1:9" x14ac:dyDescent="0.4">
      <c r="A271" s="53"/>
      <c r="B271" s="54"/>
      <c r="C271" s="55"/>
      <c r="D271" s="54" t="s">
        <v>150</v>
      </c>
      <c r="E271" s="54" t="s">
        <v>183</v>
      </c>
      <c r="F271" s="56">
        <v>9.9</v>
      </c>
      <c r="G271" s="54"/>
      <c r="H271" s="131"/>
      <c r="I271" s="131"/>
    </row>
    <row r="272" spans="1:9" x14ac:dyDescent="0.4">
      <c r="A272" s="53"/>
      <c r="B272" s="54"/>
      <c r="C272" s="55"/>
      <c r="D272" s="54" t="s">
        <v>127</v>
      </c>
      <c r="E272" s="54" t="s">
        <v>37</v>
      </c>
      <c r="F272" s="56">
        <v>2.25</v>
      </c>
      <c r="G272" s="54"/>
      <c r="H272" s="131"/>
      <c r="I272" s="131"/>
    </row>
    <row r="273" spans="1:9" x14ac:dyDescent="0.4">
      <c r="A273" s="23">
        <v>45265</v>
      </c>
      <c r="B273" s="54" t="s">
        <v>23</v>
      </c>
      <c r="C273" s="55">
        <f>SUM(F273:F274)</f>
        <v>51</v>
      </c>
      <c r="D273" s="54" t="s">
        <v>33</v>
      </c>
      <c r="E273" s="54" t="s">
        <v>276</v>
      </c>
      <c r="F273" s="56">
        <f>5+9+12</f>
        <v>26</v>
      </c>
      <c r="G273" s="54"/>
      <c r="H273" s="131"/>
      <c r="I273" s="131"/>
    </row>
    <row r="274" spans="1:9" x14ac:dyDescent="0.4">
      <c r="A274" s="53"/>
      <c r="B274" s="54"/>
      <c r="C274" s="55"/>
      <c r="D274" s="54" t="s">
        <v>127</v>
      </c>
      <c r="E274" s="54" t="s">
        <v>332</v>
      </c>
      <c r="F274" s="56">
        <v>25</v>
      </c>
      <c r="G274" s="54"/>
      <c r="H274" s="131"/>
      <c r="I274" s="131"/>
    </row>
    <row r="275" spans="1:9" x14ac:dyDescent="0.4">
      <c r="A275" s="23">
        <v>45266</v>
      </c>
      <c r="B275" s="54" t="s">
        <v>30</v>
      </c>
      <c r="C275" s="55">
        <f>SUM(F275:F277)</f>
        <v>120.88</v>
      </c>
      <c r="D275" s="54" t="s">
        <v>33</v>
      </c>
      <c r="E275" s="54" t="s">
        <v>331</v>
      </c>
      <c r="F275" s="56">
        <f>5+12+15</f>
        <v>32</v>
      </c>
      <c r="G275" s="54"/>
      <c r="H275" s="131"/>
      <c r="I275" s="131"/>
    </row>
    <row r="276" spans="1:9" x14ac:dyDescent="0.4">
      <c r="A276" s="22"/>
      <c r="B276" s="54"/>
      <c r="C276" s="55"/>
      <c r="D276" s="54" t="s">
        <v>337</v>
      </c>
      <c r="E276" s="54" t="s">
        <v>333</v>
      </c>
      <c r="F276" s="56">
        <v>61</v>
      </c>
      <c r="G276" s="54"/>
      <c r="H276" s="131"/>
      <c r="I276" s="131"/>
    </row>
    <row r="277" spans="1:9" ht="14.25" thickBot="1" x14ac:dyDescent="0.45">
      <c r="A277" s="22"/>
      <c r="B277" s="54"/>
      <c r="C277" s="55"/>
      <c r="D277" s="54" t="s">
        <v>288</v>
      </c>
      <c r="E277" s="54" t="s">
        <v>334</v>
      </c>
      <c r="F277" s="56">
        <v>27.88</v>
      </c>
      <c r="G277" s="54" t="s">
        <v>335</v>
      </c>
      <c r="H277" s="132"/>
      <c r="I277" s="132"/>
    </row>
    <row r="278" spans="1:9" ht="14.25" thickBot="1" x14ac:dyDescent="0.45">
      <c r="A278" s="23">
        <v>45267</v>
      </c>
      <c r="B278" s="54" t="s">
        <v>34</v>
      </c>
      <c r="C278" s="55">
        <v>26</v>
      </c>
      <c r="D278" s="54" t="s">
        <v>33</v>
      </c>
      <c r="E278" s="54" t="s">
        <v>276</v>
      </c>
      <c r="F278" s="56">
        <f>5+9+12</f>
        <v>26</v>
      </c>
      <c r="G278" s="126"/>
      <c r="H278" s="127" t="s">
        <v>255</v>
      </c>
      <c r="I278" s="128" t="s">
        <v>212</v>
      </c>
    </row>
    <row r="279" spans="1:9" ht="14.25" thickBot="1" x14ac:dyDescent="0.45">
      <c r="A279" s="23">
        <v>45268</v>
      </c>
      <c r="B279" s="54" t="s">
        <v>61</v>
      </c>
      <c r="C279" s="55">
        <v>16.5</v>
      </c>
      <c r="D279" s="54" t="s">
        <v>33</v>
      </c>
      <c r="E279" s="54" t="s">
        <v>336</v>
      </c>
      <c r="F279" s="56">
        <v>16.5</v>
      </c>
      <c r="G279" s="126"/>
      <c r="H279" s="129" t="s">
        <v>366</v>
      </c>
      <c r="I279" s="128">
        <v>27.8</v>
      </c>
    </row>
    <row r="280" spans="1:9" ht="14.25" thickBot="1" x14ac:dyDescent="0.45">
      <c r="A280" s="23">
        <v>45269</v>
      </c>
      <c r="B280" s="54" t="s">
        <v>65</v>
      </c>
      <c r="C280" s="55">
        <f>SUM(F280:F281)+2</f>
        <v>228</v>
      </c>
      <c r="D280" s="54" t="s">
        <v>337</v>
      </c>
      <c r="E280" s="54" t="s">
        <v>345</v>
      </c>
      <c r="F280" s="56">
        <f>15+2+9+113.4</f>
        <v>139.4</v>
      </c>
      <c r="G280" s="126"/>
      <c r="H280" s="129" t="s">
        <v>213</v>
      </c>
      <c r="I280" s="128">
        <v>670</v>
      </c>
    </row>
    <row r="281" spans="1:9" ht="14.25" thickBot="1" x14ac:dyDescent="0.45">
      <c r="A281" s="23">
        <v>45270</v>
      </c>
      <c r="B281" s="54" t="s">
        <v>84</v>
      </c>
      <c r="C281" s="55"/>
      <c r="D281" s="54" t="s">
        <v>337</v>
      </c>
      <c r="E281" s="54" t="s">
        <v>338</v>
      </c>
      <c r="F281" s="56">
        <f>2.5+1+1.3+1.5+3+3+1.5+1.5+2.8+3+1.5+3+61</f>
        <v>86.6</v>
      </c>
      <c r="G281" s="126"/>
      <c r="H281" s="129" t="s">
        <v>367</v>
      </c>
      <c r="I281" s="128">
        <v>27.88</v>
      </c>
    </row>
    <row r="282" spans="1:9" ht="14.25" thickBot="1" x14ac:dyDescent="0.45">
      <c r="A282" s="53"/>
      <c r="B282" s="54"/>
      <c r="C282" s="55"/>
      <c r="D282" s="54" t="s">
        <v>150</v>
      </c>
      <c r="E282" s="54" t="s">
        <v>340</v>
      </c>
      <c r="F282" s="56">
        <v>2</v>
      </c>
      <c r="G282" s="126"/>
      <c r="H282" s="129" t="s">
        <v>214</v>
      </c>
      <c r="I282" s="128">
        <v>56.9</v>
      </c>
    </row>
    <row r="283" spans="1:9" ht="14.25" thickBot="1" x14ac:dyDescent="0.45">
      <c r="A283" s="23">
        <v>45271</v>
      </c>
      <c r="B283" s="54" t="s">
        <v>88</v>
      </c>
      <c r="C283" s="55">
        <f>SUM(F283:F286)</f>
        <v>88.09</v>
      </c>
      <c r="D283" s="54" t="s">
        <v>33</v>
      </c>
      <c r="E283" s="54" t="s">
        <v>220</v>
      </c>
      <c r="F283" s="56">
        <f>3+9+12</f>
        <v>24</v>
      </c>
      <c r="G283" s="126"/>
      <c r="H283" s="129" t="s">
        <v>260</v>
      </c>
      <c r="I283" s="128">
        <v>44.88</v>
      </c>
    </row>
    <row r="284" spans="1:9" ht="14.25" thickBot="1" x14ac:dyDescent="0.45">
      <c r="A284" s="22"/>
      <c r="B284" s="54"/>
      <c r="C284" s="55"/>
      <c r="D284" s="54" t="s">
        <v>115</v>
      </c>
      <c r="E284" s="54" t="s">
        <v>339</v>
      </c>
      <c r="F284" s="56">
        <f>15.92*2</f>
        <v>31.84</v>
      </c>
      <c r="G284" s="126"/>
      <c r="H284" s="129" t="s">
        <v>116</v>
      </c>
      <c r="I284" s="128">
        <v>64.05</v>
      </c>
    </row>
    <row r="285" spans="1:9" ht="14.25" thickBot="1" x14ac:dyDescent="0.45">
      <c r="A285" s="22"/>
      <c r="B285" s="54"/>
      <c r="C285" s="55"/>
      <c r="D285" s="54" t="s">
        <v>196</v>
      </c>
      <c r="E285" s="54" t="s">
        <v>37</v>
      </c>
      <c r="F285" s="56">
        <v>2.25</v>
      </c>
      <c r="G285" s="126"/>
      <c r="H285" s="129" t="s">
        <v>114</v>
      </c>
      <c r="I285" s="128">
        <v>47.24</v>
      </c>
    </row>
    <row r="286" spans="1:9" ht="14.25" thickBot="1" x14ac:dyDescent="0.45">
      <c r="A286" s="22"/>
      <c r="B286" s="54"/>
      <c r="C286" s="55"/>
      <c r="D286" s="54" t="s">
        <v>127</v>
      </c>
      <c r="E286" s="54" t="s">
        <v>284</v>
      </c>
      <c r="F286" s="56">
        <v>30</v>
      </c>
      <c r="G286" s="126"/>
      <c r="H286" s="129" t="s">
        <v>265</v>
      </c>
      <c r="I286" s="128">
        <v>11.25</v>
      </c>
    </row>
    <row r="287" spans="1:9" ht="14.25" thickBot="1" x14ac:dyDescent="0.45">
      <c r="A287" s="23">
        <v>45272</v>
      </c>
      <c r="B287" s="54" t="s">
        <v>23</v>
      </c>
      <c r="C287" s="55">
        <f>表8[[#This Row],[支出]]</f>
        <v>27</v>
      </c>
      <c r="D287" s="54" t="s">
        <v>33</v>
      </c>
      <c r="E287" s="54" t="s">
        <v>234</v>
      </c>
      <c r="F287" s="56">
        <v>27</v>
      </c>
      <c r="G287" s="126"/>
      <c r="H287" s="129" t="s">
        <v>266</v>
      </c>
      <c r="I287" s="128">
        <v>372.07</v>
      </c>
    </row>
    <row r="288" spans="1:9" ht="14.25" thickBot="1" x14ac:dyDescent="0.45">
      <c r="A288" s="23">
        <v>45273</v>
      </c>
      <c r="B288" s="54" t="s">
        <v>30</v>
      </c>
      <c r="C288" s="55">
        <f>SUM(F288:F289)</f>
        <v>24.6</v>
      </c>
      <c r="D288" s="54" t="s">
        <v>127</v>
      </c>
      <c r="E288" s="54" t="s">
        <v>346</v>
      </c>
      <c r="F288" s="56">
        <v>0.6</v>
      </c>
      <c r="G288" s="126"/>
      <c r="H288" s="129" t="s">
        <v>368</v>
      </c>
      <c r="I288" s="128">
        <v>431</v>
      </c>
    </row>
    <row r="289" spans="1:9" ht="14.25" thickBot="1" x14ac:dyDescent="0.45">
      <c r="A289" s="53"/>
      <c r="B289" s="54"/>
      <c r="C289" s="55"/>
      <c r="D289" s="54" t="s">
        <v>33</v>
      </c>
      <c r="E289" s="54" t="s">
        <v>220</v>
      </c>
      <c r="F289" s="56">
        <v>24</v>
      </c>
      <c r="G289" s="126"/>
      <c r="H289" s="129" t="s">
        <v>216</v>
      </c>
      <c r="I289" s="128">
        <v>0</v>
      </c>
    </row>
    <row r="290" spans="1:9" ht="14.25" thickBot="1" x14ac:dyDescent="0.45">
      <c r="A290" s="23">
        <v>45274</v>
      </c>
      <c r="B290" s="54" t="s">
        <v>34</v>
      </c>
      <c r="C290" s="55">
        <f>SUM(F290:F291)</f>
        <v>29.25</v>
      </c>
      <c r="D290" s="54" t="s">
        <v>196</v>
      </c>
      <c r="E290" s="54" t="s">
        <v>37</v>
      </c>
      <c r="F290" s="56">
        <v>2.25</v>
      </c>
      <c r="G290" s="126"/>
      <c r="H290" s="129" t="s">
        <v>256</v>
      </c>
      <c r="I290" s="128">
        <v>1753.07</v>
      </c>
    </row>
    <row r="291" spans="1:9" x14ac:dyDescent="0.4">
      <c r="A291" s="53"/>
      <c r="B291" s="54"/>
      <c r="C291" s="55"/>
      <c r="D291" s="54" t="s">
        <v>33</v>
      </c>
      <c r="E291" s="54" t="s">
        <v>292</v>
      </c>
      <c r="F291" s="56">
        <v>27</v>
      </c>
      <c r="G291" s="54"/>
      <c r="H291" s="79"/>
      <c r="I291" s="80"/>
    </row>
    <row r="292" spans="1:9" x14ac:dyDescent="0.4">
      <c r="A292" s="23">
        <v>45275</v>
      </c>
      <c r="B292" s="54" t="s">
        <v>61</v>
      </c>
      <c r="C292" s="55">
        <f>SUM(F292:F294)</f>
        <v>149</v>
      </c>
      <c r="D292" s="54" t="s">
        <v>337</v>
      </c>
      <c r="E292" s="54" t="s">
        <v>348</v>
      </c>
      <c r="F292" s="56">
        <v>122</v>
      </c>
      <c r="G292" s="54"/>
      <c r="H292" s="79"/>
      <c r="I292" s="80"/>
    </row>
    <row r="293" spans="1:9" x14ac:dyDescent="0.4">
      <c r="A293" s="53"/>
      <c r="B293" s="54"/>
      <c r="C293" s="55"/>
      <c r="D293" s="54" t="s">
        <v>115</v>
      </c>
      <c r="E293" s="54" t="s">
        <v>347</v>
      </c>
      <c r="F293" s="56">
        <v>2</v>
      </c>
      <c r="G293" s="54"/>
      <c r="H293" s="79"/>
      <c r="I293" s="80"/>
    </row>
    <row r="294" spans="1:9" x14ac:dyDescent="0.4">
      <c r="A294" s="53"/>
      <c r="B294" s="54"/>
      <c r="C294" s="55"/>
      <c r="D294" s="54" t="s">
        <v>33</v>
      </c>
      <c r="E294" s="54" t="s">
        <v>240</v>
      </c>
      <c r="F294" s="56">
        <v>25</v>
      </c>
      <c r="G294" s="54"/>
      <c r="H294" s="79"/>
      <c r="I294" s="80"/>
    </row>
    <row r="295" spans="1:9" x14ac:dyDescent="0.4">
      <c r="A295" s="23">
        <v>45276</v>
      </c>
      <c r="B295" s="54" t="s">
        <v>65</v>
      </c>
      <c r="C295" s="55">
        <f>SUM(F295:F296)</f>
        <v>39</v>
      </c>
      <c r="D295" s="54" t="s">
        <v>337</v>
      </c>
      <c r="E295" s="54" t="s">
        <v>349</v>
      </c>
      <c r="F295" s="56">
        <v>22</v>
      </c>
      <c r="G295" s="54"/>
      <c r="H295" s="79"/>
      <c r="I295" s="80"/>
    </row>
    <row r="296" spans="1:9" x14ac:dyDescent="0.4">
      <c r="A296" s="53"/>
      <c r="B296" s="54"/>
      <c r="C296" s="55"/>
      <c r="D296" s="54" t="s">
        <v>33</v>
      </c>
      <c r="E296" s="54" t="s">
        <v>351</v>
      </c>
      <c r="F296" s="56">
        <v>17</v>
      </c>
      <c r="G296" s="54"/>
      <c r="H296" s="79"/>
      <c r="I296" s="80"/>
    </row>
    <row r="297" spans="1:9" x14ac:dyDescent="0.4">
      <c r="A297" s="23">
        <v>45277</v>
      </c>
      <c r="B297" s="54" t="s">
        <v>84</v>
      </c>
      <c r="C297" s="55">
        <f>表8[[#This Row],[支出]]</f>
        <v>0</v>
      </c>
      <c r="D297" s="54"/>
      <c r="E297" s="54"/>
      <c r="F297" s="56">
        <v>0</v>
      </c>
      <c r="G297" s="54"/>
      <c r="H297" s="79"/>
      <c r="I297" s="80"/>
    </row>
    <row r="298" spans="1:9" x14ac:dyDescent="0.4">
      <c r="A298" s="23">
        <v>45278</v>
      </c>
      <c r="B298" s="54" t="s">
        <v>88</v>
      </c>
      <c r="C298" s="55">
        <f>SUM(F298:F300)</f>
        <v>430.32</v>
      </c>
      <c r="D298" s="54" t="s">
        <v>224</v>
      </c>
      <c r="E298" s="54" t="s">
        <v>350</v>
      </c>
      <c r="F298" s="56">
        <v>372.07</v>
      </c>
      <c r="G298" s="54"/>
      <c r="H298" s="79"/>
      <c r="I298" s="80"/>
    </row>
    <row r="299" spans="1:9" x14ac:dyDescent="0.4">
      <c r="A299" s="22"/>
      <c r="B299" s="54"/>
      <c r="C299" s="55"/>
      <c r="D299" s="54" t="s">
        <v>33</v>
      </c>
      <c r="E299" s="54" t="s">
        <v>352</v>
      </c>
      <c r="F299" s="56">
        <f>27+5+12+12</f>
        <v>56</v>
      </c>
      <c r="G299" s="54"/>
      <c r="H299" s="79"/>
      <c r="I299" s="80"/>
    </row>
    <row r="300" spans="1:9" x14ac:dyDescent="0.4">
      <c r="A300" s="22"/>
      <c r="B300" s="54"/>
      <c r="C300" s="55"/>
      <c r="D300" s="54" t="s">
        <v>196</v>
      </c>
      <c r="E300" s="54" t="s">
        <v>37</v>
      </c>
      <c r="F300" s="56">
        <v>2.25</v>
      </c>
      <c r="G300" s="54" t="s">
        <v>335</v>
      </c>
      <c r="H300" s="79"/>
      <c r="I300" s="80"/>
    </row>
    <row r="301" spans="1:9" x14ac:dyDescent="0.4">
      <c r="A301" s="23">
        <v>45645</v>
      </c>
      <c r="B301" s="54" t="s">
        <v>23</v>
      </c>
      <c r="C301" s="55">
        <v>24</v>
      </c>
      <c r="D301" s="54" t="s">
        <v>33</v>
      </c>
      <c r="E301" s="54" t="s">
        <v>220</v>
      </c>
      <c r="F301" s="56">
        <f>3+9+12</f>
        <v>24</v>
      </c>
      <c r="G301" s="54"/>
      <c r="H301" s="79"/>
      <c r="I301" s="80"/>
    </row>
    <row r="302" spans="1:9" x14ac:dyDescent="0.4">
      <c r="A302" s="23">
        <v>45646</v>
      </c>
      <c r="B302" s="54" t="s">
        <v>30</v>
      </c>
      <c r="C302" s="55">
        <v>27</v>
      </c>
      <c r="D302" s="55" t="s">
        <v>33</v>
      </c>
      <c r="E302" s="54" t="s">
        <v>234</v>
      </c>
      <c r="F302" s="56">
        <f>3+12+12</f>
        <v>27</v>
      </c>
      <c r="G302" s="54"/>
      <c r="H302" s="79"/>
      <c r="I302" s="80"/>
    </row>
    <row r="303" spans="1:9" x14ac:dyDescent="0.4">
      <c r="A303" s="23">
        <v>45647</v>
      </c>
      <c r="B303" s="54" t="s">
        <v>34</v>
      </c>
      <c r="C303" s="55">
        <v>29</v>
      </c>
      <c r="D303" s="54" t="s">
        <v>33</v>
      </c>
      <c r="E303" s="54" t="s">
        <v>249</v>
      </c>
      <c r="F303" s="56">
        <f>5+12+12</f>
        <v>29</v>
      </c>
      <c r="G303" s="54"/>
      <c r="H303" s="79"/>
      <c r="I303" s="80"/>
    </row>
    <row r="304" spans="1:9" x14ac:dyDescent="0.4">
      <c r="A304" s="23">
        <v>45648</v>
      </c>
      <c r="B304" s="54" t="s">
        <v>61</v>
      </c>
      <c r="C304" s="55">
        <f>SUM(F304:F305)</f>
        <v>24.5</v>
      </c>
      <c r="D304" s="54" t="s">
        <v>33</v>
      </c>
      <c r="E304" s="54" t="s">
        <v>355</v>
      </c>
      <c r="F304" s="56">
        <f>11.5+5</f>
        <v>16.5</v>
      </c>
      <c r="G304" s="54"/>
      <c r="H304" s="79"/>
      <c r="I304" s="80"/>
    </row>
    <row r="305" spans="1:9" x14ac:dyDescent="0.4">
      <c r="A305" s="53"/>
      <c r="B305" s="54"/>
      <c r="C305" s="55"/>
      <c r="D305" s="54" t="s">
        <v>150</v>
      </c>
      <c r="E305" s="54" t="s">
        <v>359</v>
      </c>
      <c r="F305" s="56">
        <v>8</v>
      </c>
      <c r="G305" s="54"/>
      <c r="H305" s="79"/>
      <c r="I305" s="80"/>
    </row>
    <row r="306" spans="1:9" x14ac:dyDescent="0.4">
      <c r="A306" s="23">
        <v>45649</v>
      </c>
      <c r="B306" s="54" t="s">
        <v>65</v>
      </c>
      <c r="C306" s="55">
        <f>SUM(F306:F307)</f>
        <v>15.65</v>
      </c>
      <c r="D306" s="54" t="s">
        <v>196</v>
      </c>
      <c r="E306" s="54" t="s">
        <v>37</v>
      </c>
      <c r="F306" s="56">
        <v>2.25</v>
      </c>
      <c r="G306" s="54"/>
      <c r="H306" s="79"/>
      <c r="I306" s="80"/>
    </row>
    <row r="307" spans="1:9" x14ac:dyDescent="0.4">
      <c r="A307" s="53"/>
      <c r="B307" s="54"/>
      <c r="C307" s="55"/>
      <c r="D307" s="54" t="s">
        <v>115</v>
      </c>
      <c r="E307" s="54" t="s">
        <v>362</v>
      </c>
      <c r="F307" s="56">
        <v>13.4</v>
      </c>
      <c r="G307" s="54"/>
      <c r="H307" s="79"/>
      <c r="I307" s="80"/>
    </row>
    <row r="308" spans="1:9" x14ac:dyDescent="0.4">
      <c r="A308" s="23">
        <v>45650</v>
      </c>
      <c r="B308" s="54" t="s">
        <v>84</v>
      </c>
      <c r="C308" s="55">
        <f>SUM(F308:F309)</f>
        <v>34</v>
      </c>
      <c r="D308" s="54" t="s">
        <v>33</v>
      </c>
      <c r="E308" s="54" t="s">
        <v>356</v>
      </c>
      <c r="F308" s="56">
        <v>26</v>
      </c>
      <c r="G308" s="54"/>
      <c r="H308" s="79"/>
      <c r="I308" s="80"/>
    </row>
    <row r="309" spans="1:9" x14ac:dyDescent="0.4">
      <c r="A309" s="22"/>
      <c r="B309" s="54"/>
      <c r="C309" s="55"/>
      <c r="D309" s="54" t="s">
        <v>150</v>
      </c>
      <c r="E309" s="54" t="s">
        <v>360</v>
      </c>
      <c r="F309" s="56">
        <v>8</v>
      </c>
      <c r="G309" s="54"/>
      <c r="H309" s="79"/>
      <c r="I309" s="80"/>
    </row>
    <row r="310" spans="1:9" x14ac:dyDescent="0.4">
      <c r="A310" s="23">
        <v>45651</v>
      </c>
      <c r="B310" s="54" t="s">
        <v>88</v>
      </c>
      <c r="C310" s="55">
        <v>27</v>
      </c>
      <c r="D310" s="54" t="s">
        <v>33</v>
      </c>
      <c r="E310" s="54" t="s">
        <v>234</v>
      </c>
      <c r="F310" s="56">
        <v>27</v>
      </c>
      <c r="G310" s="54"/>
      <c r="H310" s="79"/>
      <c r="I310" s="80"/>
    </row>
    <row r="311" spans="1:9" x14ac:dyDescent="0.4">
      <c r="A311" s="23">
        <v>45652</v>
      </c>
      <c r="B311" s="54" t="s">
        <v>23</v>
      </c>
      <c r="C311" s="55">
        <v>25</v>
      </c>
      <c r="D311" s="54" t="s">
        <v>33</v>
      </c>
      <c r="E311" s="54" t="s">
        <v>240</v>
      </c>
      <c r="F311" s="56">
        <v>25</v>
      </c>
      <c r="G311" s="54"/>
      <c r="H311" s="79"/>
      <c r="I311" s="80"/>
    </row>
    <row r="312" spans="1:9" x14ac:dyDescent="0.4">
      <c r="A312" s="23">
        <v>45653</v>
      </c>
      <c r="B312" s="54" t="s">
        <v>30</v>
      </c>
      <c r="C312" s="55">
        <v>27</v>
      </c>
      <c r="D312" s="54" t="s">
        <v>33</v>
      </c>
      <c r="E312" s="54" t="s">
        <v>292</v>
      </c>
      <c r="F312" s="56">
        <v>27</v>
      </c>
      <c r="G312" s="54"/>
      <c r="H312" s="79"/>
      <c r="I312" s="80"/>
    </row>
    <row r="313" spans="1:9" x14ac:dyDescent="0.4">
      <c r="A313" s="23">
        <v>45654</v>
      </c>
      <c r="B313" s="54" t="s">
        <v>34</v>
      </c>
      <c r="C313" s="55">
        <f>SUM(F313:F314)</f>
        <v>31.2</v>
      </c>
      <c r="D313" s="54" t="s">
        <v>33</v>
      </c>
      <c r="E313" s="54" t="s">
        <v>240</v>
      </c>
      <c r="F313" s="56">
        <v>25</v>
      </c>
      <c r="G313" s="54"/>
      <c r="H313" s="87"/>
      <c r="I313" s="80"/>
    </row>
    <row r="314" spans="1:9" x14ac:dyDescent="0.4">
      <c r="A314" s="53"/>
      <c r="B314" s="54"/>
      <c r="C314" s="55"/>
      <c r="D314" s="54" t="s">
        <v>127</v>
      </c>
      <c r="E314" s="54" t="s">
        <v>363</v>
      </c>
      <c r="F314" s="56">
        <v>6.2</v>
      </c>
      <c r="G314" s="54"/>
      <c r="H314" s="87"/>
      <c r="I314" s="80"/>
    </row>
    <row r="315" spans="1:9" x14ac:dyDescent="0.4">
      <c r="A315" s="23">
        <v>45655</v>
      </c>
      <c r="B315" s="54" t="s">
        <v>61</v>
      </c>
      <c r="C315" s="55">
        <f>SUM(F315:F316)</f>
        <v>33</v>
      </c>
      <c r="D315" s="54" t="s">
        <v>33</v>
      </c>
      <c r="E315" s="54" t="s">
        <v>357</v>
      </c>
      <c r="F315" s="56">
        <v>15</v>
      </c>
      <c r="G315" s="54"/>
      <c r="H315" s="79"/>
      <c r="I315" s="80"/>
    </row>
    <row r="316" spans="1:9" x14ac:dyDescent="0.4">
      <c r="A316" s="53"/>
      <c r="B316" s="54"/>
      <c r="C316" s="55"/>
      <c r="D316" s="54" t="s">
        <v>33</v>
      </c>
      <c r="E316" s="54" t="s">
        <v>364</v>
      </c>
      <c r="F316" s="56">
        <v>18</v>
      </c>
      <c r="G316" s="54"/>
      <c r="H316" s="87"/>
      <c r="I316" s="80"/>
    </row>
    <row r="317" spans="1:9" x14ac:dyDescent="0.4">
      <c r="A317" s="23">
        <v>45656</v>
      </c>
      <c r="B317" s="54" t="s">
        <v>65</v>
      </c>
      <c r="C317" s="55">
        <f>SUM(F317:F319)</f>
        <v>27.25</v>
      </c>
      <c r="D317" s="54" t="s">
        <v>33</v>
      </c>
      <c r="E317" s="54" t="s">
        <v>358</v>
      </c>
      <c r="F317" s="56">
        <v>16</v>
      </c>
      <c r="G317" s="54"/>
      <c r="H317" s="87"/>
      <c r="I317" s="80"/>
    </row>
    <row r="318" spans="1:9" x14ac:dyDescent="0.4">
      <c r="A318" s="53"/>
      <c r="B318" s="54"/>
      <c r="C318" s="55"/>
      <c r="D318" s="54" t="s">
        <v>150</v>
      </c>
      <c r="E318" s="54" t="s">
        <v>361</v>
      </c>
      <c r="F318" s="56">
        <v>9</v>
      </c>
      <c r="G318" s="54"/>
      <c r="H318" s="79"/>
      <c r="I318" s="80"/>
    </row>
    <row r="319" spans="1:9" x14ac:dyDescent="0.4">
      <c r="A319" s="53"/>
      <c r="B319" s="54"/>
      <c r="C319" s="55"/>
      <c r="D319" s="54" t="s">
        <v>196</v>
      </c>
      <c r="E319" s="54" t="s">
        <v>37</v>
      </c>
      <c r="F319" s="56">
        <v>2.25</v>
      </c>
      <c r="G319" s="54"/>
      <c r="H319" s="79"/>
      <c r="I319" s="80"/>
    </row>
    <row r="320" spans="1:9" x14ac:dyDescent="0.4">
      <c r="A320" s="62">
        <v>45657</v>
      </c>
      <c r="B320" s="58" t="s">
        <v>84</v>
      </c>
      <c r="C320" s="89">
        <v>44.88</v>
      </c>
      <c r="D320" s="58" t="s">
        <v>181</v>
      </c>
      <c r="E320" s="58" t="s">
        <v>365</v>
      </c>
      <c r="F320" s="100">
        <v>44.88</v>
      </c>
      <c r="G320" s="58"/>
      <c r="H320" s="79"/>
      <c r="I320" s="80"/>
    </row>
    <row r="321" spans="1:9" x14ac:dyDescent="0.4">
      <c r="A321" s="117"/>
      <c r="B321" s="91"/>
      <c r="C321" s="92"/>
      <c r="D321" s="91"/>
      <c r="E321" s="91"/>
      <c r="F321" s="92"/>
      <c r="G321" s="91"/>
      <c r="H321" s="74"/>
      <c r="I321" s="80"/>
    </row>
    <row r="322" spans="1:9" x14ac:dyDescent="0.4">
      <c r="A322" s="90"/>
      <c r="B322" s="91"/>
      <c r="C322" s="92"/>
      <c r="D322" s="91"/>
      <c r="E322" s="91"/>
      <c r="F322" s="92"/>
      <c r="G322" s="91"/>
      <c r="H322" s="74"/>
      <c r="I322" s="80"/>
    </row>
    <row r="323" spans="1:9" x14ac:dyDescent="0.4">
      <c r="A323" s="90"/>
      <c r="B323" s="91"/>
      <c r="C323" s="92"/>
      <c r="D323" s="91"/>
      <c r="E323" s="91"/>
      <c r="F323" s="92"/>
      <c r="G323" s="91"/>
      <c r="H323" s="74"/>
      <c r="I323" s="80"/>
    </row>
    <row r="324" spans="1:9" x14ac:dyDescent="0.4">
      <c r="A324" s="90"/>
      <c r="B324" s="91"/>
      <c r="C324" s="92"/>
      <c r="D324" s="91"/>
      <c r="E324" s="91"/>
      <c r="F324" s="92"/>
      <c r="G324" s="91"/>
      <c r="H324" s="74"/>
      <c r="I324" s="80"/>
    </row>
    <row r="325" spans="1:9" x14ac:dyDescent="0.4">
      <c r="A325" s="90"/>
      <c r="B325" s="91"/>
      <c r="C325" s="92"/>
      <c r="D325" s="91"/>
      <c r="E325" s="91"/>
      <c r="F325" s="92"/>
      <c r="G325" s="91"/>
      <c r="H325" s="74"/>
      <c r="I325" s="80"/>
    </row>
    <row r="326" spans="1:9" x14ac:dyDescent="0.4">
      <c r="A326" s="90"/>
      <c r="B326" s="91"/>
      <c r="C326" s="92"/>
      <c r="D326" s="91"/>
      <c r="E326" s="91"/>
      <c r="F326" s="92"/>
      <c r="G326" s="91"/>
      <c r="H326" s="74"/>
      <c r="I326" s="80"/>
    </row>
    <row r="327" spans="1:9" x14ac:dyDescent="0.4">
      <c r="A327" s="90"/>
      <c r="B327" s="91"/>
      <c r="C327" s="92"/>
      <c r="D327" s="91"/>
      <c r="E327" s="91"/>
      <c r="F327" s="92"/>
      <c r="G327" s="91"/>
      <c r="H327" s="74"/>
      <c r="I327" s="80"/>
    </row>
    <row r="328" spans="1:9" x14ac:dyDescent="0.4">
      <c r="A328" s="90"/>
      <c r="B328" s="91"/>
      <c r="C328" s="92"/>
      <c r="D328" s="91"/>
      <c r="E328" s="91"/>
      <c r="F328" s="92"/>
      <c r="G328" s="91"/>
      <c r="H328" s="74"/>
      <c r="I328" s="80"/>
    </row>
    <row r="329" spans="1:9" x14ac:dyDescent="0.4">
      <c r="A329" s="90"/>
      <c r="B329" s="91"/>
      <c r="C329" s="92"/>
      <c r="D329" s="91"/>
      <c r="E329" s="91"/>
      <c r="F329" s="92"/>
      <c r="G329" s="91"/>
      <c r="H329" s="74"/>
      <c r="I329" s="80"/>
    </row>
    <row r="330" spans="1:9" x14ac:dyDescent="0.4">
      <c r="A330" s="90"/>
      <c r="B330" s="91"/>
      <c r="C330" s="92"/>
      <c r="D330" s="91"/>
      <c r="E330" s="91"/>
      <c r="F330" s="92"/>
      <c r="G330" s="91"/>
      <c r="H330" s="74"/>
      <c r="I330" s="80"/>
    </row>
    <row r="331" spans="1:9" x14ac:dyDescent="0.4">
      <c r="A331" s="90"/>
      <c r="B331" s="91"/>
      <c r="C331" s="92"/>
      <c r="D331" s="91"/>
      <c r="E331" s="91"/>
      <c r="F331" s="92"/>
      <c r="G331" s="91"/>
      <c r="H331" s="74"/>
      <c r="I331" s="80"/>
    </row>
    <row r="332" spans="1:9" x14ac:dyDescent="0.4">
      <c r="A332" s="90"/>
      <c r="B332" s="91"/>
      <c r="C332" s="92"/>
      <c r="D332" s="91"/>
      <c r="E332" s="91"/>
      <c r="F332" s="92"/>
      <c r="G332" s="91"/>
      <c r="H332" s="74"/>
      <c r="I332" s="80"/>
    </row>
    <row r="333" spans="1:9" x14ac:dyDescent="0.4">
      <c r="A333" s="90"/>
      <c r="B333" s="91"/>
      <c r="C333" s="92"/>
      <c r="D333" s="91"/>
      <c r="E333" s="91"/>
      <c r="F333" s="92"/>
      <c r="G333" s="91"/>
      <c r="H333" s="74"/>
      <c r="I333" s="80"/>
    </row>
    <row r="334" spans="1:9" x14ac:dyDescent="0.4">
      <c r="A334" s="90"/>
      <c r="B334" s="91"/>
      <c r="C334" s="92"/>
      <c r="D334" s="91"/>
      <c r="E334" s="91"/>
      <c r="F334" s="92"/>
      <c r="G334" s="91"/>
      <c r="H334" s="74"/>
      <c r="I334" s="80"/>
    </row>
    <row r="335" spans="1:9" x14ac:dyDescent="0.4">
      <c r="A335" s="90"/>
      <c r="B335" s="91"/>
      <c r="C335" s="92"/>
      <c r="D335" s="91"/>
      <c r="E335" s="91"/>
      <c r="F335" s="92"/>
      <c r="G335" s="91"/>
      <c r="H335" s="74"/>
      <c r="I335" s="80"/>
    </row>
    <row r="336" spans="1:9" x14ac:dyDescent="0.4">
      <c r="A336" s="90"/>
      <c r="B336" s="91"/>
      <c r="C336" s="92"/>
      <c r="D336" s="91"/>
      <c r="E336" s="91"/>
      <c r="F336" s="92"/>
      <c r="G336" s="91"/>
      <c r="H336" s="74"/>
      <c r="I336" s="80"/>
    </row>
    <row r="337" spans="1:9" x14ac:dyDescent="0.4">
      <c r="A337" s="90"/>
      <c r="B337" s="91"/>
      <c r="C337" s="92"/>
      <c r="D337" s="91"/>
      <c r="E337" s="91"/>
      <c r="F337" s="92"/>
      <c r="G337" s="91"/>
      <c r="H337" s="74"/>
      <c r="I337" s="80"/>
    </row>
    <row r="338" spans="1:9" x14ac:dyDescent="0.4">
      <c r="A338" s="90"/>
      <c r="B338" s="91"/>
      <c r="C338" s="92"/>
      <c r="D338" s="91"/>
      <c r="E338" s="91"/>
      <c r="F338" s="92"/>
      <c r="G338" s="91"/>
      <c r="H338" s="74"/>
      <c r="I338" s="80"/>
    </row>
    <row r="339" spans="1:9" x14ac:dyDescent="0.4">
      <c r="A339" s="90"/>
      <c r="B339" s="91"/>
      <c r="C339" s="92"/>
      <c r="D339" s="91"/>
      <c r="E339" s="91"/>
      <c r="F339" s="92"/>
      <c r="G339" s="91"/>
      <c r="H339" s="74"/>
      <c r="I339" s="80"/>
    </row>
    <row r="340" spans="1:9" x14ac:dyDescent="0.4">
      <c r="A340" s="90"/>
      <c r="B340" s="91"/>
      <c r="C340" s="92"/>
      <c r="D340" s="91"/>
      <c r="E340" s="91"/>
      <c r="F340" s="92"/>
      <c r="G340" s="91"/>
      <c r="H340" s="74"/>
      <c r="I340" s="80"/>
    </row>
    <row r="341" spans="1:9" x14ac:dyDescent="0.4">
      <c r="A341" s="90"/>
      <c r="B341" s="91"/>
      <c r="C341" s="92"/>
      <c r="D341" s="91"/>
      <c r="E341" s="91"/>
      <c r="F341" s="92"/>
      <c r="G341" s="91"/>
      <c r="H341" s="74"/>
      <c r="I341" s="80"/>
    </row>
    <row r="342" spans="1:9" x14ac:dyDescent="0.4">
      <c r="A342" s="90"/>
      <c r="B342" s="91"/>
      <c r="C342" s="92"/>
      <c r="D342" s="91"/>
      <c r="E342" s="91"/>
      <c r="F342" s="92"/>
      <c r="G342" s="91"/>
      <c r="H342" s="74"/>
      <c r="I342" s="80"/>
    </row>
    <row r="343" spans="1:9" x14ac:dyDescent="0.4">
      <c r="A343" s="90"/>
      <c r="B343" s="91"/>
      <c r="C343" s="92"/>
      <c r="D343" s="91"/>
      <c r="E343" s="91"/>
      <c r="F343" s="92"/>
      <c r="G343" s="91"/>
      <c r="H343" s="74"/>
      <c r="I343" s="80"/>
    </row>
    <row r="344" spans="1:9" x14ac:dyDescent="0.4">
      <c r="A344" s="90"/>
      <c r="B344" s="91"/>
      <c r="C344" s="92"/>
      <c r="D344" s="91"/>
      <c r="E344" s="91"/>
      <c r="F344" s="92"/>
      <c r="G344" s="91"/>
      <c r="H344" s="74"/>
      <c r="I344" s="80"/>
    </row>
    <row r="345" spans="1:9" x14ac:dyDescent="0.4">
      <c r="A345" s="90"/>
      <c r="B345" s="91"/>
      <c r="C345" s="92"/>
      <c r="D345" s="91"/>
      <c r="E345" s="91"/>
      <c r="F345" s="92"/>
      <c r="G345" s="91"/>
      <c r="H345" s="74"/>
      <c r="I345" s="80"/>
    </row>
    <row r="346" spans="1:9" x14ac:dyDescent="0.4">
      <c r="A346" s="90"/>
      <c r="B346" s="91"/>
      <c r="C346" s="92"/>
      <c r="D346" s="91"/>
      <c r="E346" s="91"/>
      <c r="F346" s="92"/>
      <c r="G346" s="91"/>
      <c r="H346" s="74"/>
      <c r="I346" s="80"/>
    </row>
    <row r="347" spans="1:9" x14ac:dyDescent="0.4">
      <c r="A347" s="67"/>
      <c r="B347" s="120"/>
      <c r="C347" s="121"/>
      <c r="D347" s="120"/>
      <c r="E347" s="120"/>
      <c r="F347" s="121"/>
      <c r="G347" s="123"/>
      <c r="H347" s="74"/>
      <c r="I347" s="80"/>
    </row>
    <row r="348" spans="1:9" x14ac:dyDescent="0.4">
      <c r="A348" s="22"/>
      <c r="B348" s="54"/>
      <c r="C348" s="55"/>
      <c r="D348" s="54"/>
      <c r="E348" s="54"/>
      <c r="F348" s="55"/>
      <c r="G348" s="124"/>
      <c r="H348" s="74"/>
      <c r="I348" s="80"/>
    </row>
    <row r="349" spans="1:9" x14ac:dyDescent="0.4">
      <c r="A349" s="22"/>
      <c r="B349" s="54"/>
      <c r="C349" s="55"/>
      <c r="D349" s="54"/>
      <c r="E349" s="54"/>
      <c r="F349" s="55"/>
      <c r="G349" s="124"/>
      <c r="H349" s="74"/>
      <c r="I349" s="80"/>
    </row>
    <row r="350" spans="1:9" x14ac:dyDescent="0.4">
      <c r="A350" s="22"/>
      <c r="B350" s="54"/>
      <c r="C350" s="55"/>
      <c r="D350" s="54"/>
      <c r="E350" s="54"/>
      <c r="F350" s="55"/>
      <c r="G350" s="124"/>
      <c r="H350" s="74"/>
      <c r="I350" s="80"/>
    </row>
    <row r="351" spans="1:9" x14ac:dyDescent="0.4">
      <c r="A351" s="22"/>
      <c r="B351" s="54"/>
      <c r="C351" s="55"/>
      <c r="D351" s="54"/>
      <c r="E351" s="54"/>
      <c r="F351" s="55"/>
      <c r="G351" s="124"/>
      <c r="H351" s="74"/>
      <c r="I351" s="80"/>
    </row>
    <row r="352" spans="1:9" x14ac:dyDescent="0.4">
      <c r="A352" s="22"/>
      <c r="B352" s="54"/>
      <c r="C352" s="55"/>
      <c r="D352" s="54"/>
      <c r="E352" s="54"/>
      <c r="F352" s="55"/>
      <c r="G352" s="124"/>
      <c r="H352" s="74"/>
      <c r="I352" s="80"/>
    </row>
    <row r="353" spans="1:9" x14ac:dyDescent="0.4">
      <c r="A353" s="22"/>
      <c r="B353" s="54"/>
      <c r="C353" s="55"/>
      <c r="D353" s="54"/>
      <c r="E353" s="54"/>
      <c r="F353" s="55"/>
      <c r="G353" s="124"/>
      <c r="H353" s="74"/>
      <c r="I353" s="80"/>
    </row>
    <row r="354" spans="1:9" x14ac:dyDescent="0.4">
      <c r="A354" s="22"/>
      <c r="B354" s="54"/>
      <c r="C354" s="55"/>
      <c r="D354" s="54"/>
      <c r="E354" s="54"/>
      <c r="F354" s="55"/>
      <c r="G354" s="124"/>
      <c r="H354" s="74"/>
      <c r="I354" s="80"/>
    </row>
    <row r="355" spans="1:9" x14ac:dyDescent="0.4">
      <c r="A355" s="22"/>
      <c r="B355" s="54"/>
      <c r="C355" s="55"/>
      <c r="D355" s="54"/>
      <c r="E355" s="54"/>
      <c r="F355" s="55"/>
      <c r="G355" s="124"/>
      <c r="H355" s="74"/>
      <c r="I355" s="80"/>
    </row>
    <row r="356" spans="1:9" x14ac:dyDescent="0.4">
      <c r="A356" s="22"/>
      <c r="B356" s="54"/>
      <c r="C356" s="55"/>
      <c r="D356" s="54"/>
      <c r="E356" s="54"/>
      <c r="F356" s="55"/>
      <c r="G356" s="124"/>
      <c r="H356" s="74"/>
      <c r="I356" s="80"/>
    </row>
    <row r="357" spans="1:9" x14ac:dyDescent="0.4">
      <c r="A357" s="22"/>
      <c r="B357" s="54"/>
      <c r="C357" s="55"/>
      <c r="D357" s="54"/>
      <c r="E357" s="54"/>
      <c r="F357" s="55"/>
      <c r="G357" s="124"/>
      <c r="H357" s="74"/>
      <c r="I357" s="80"/>
    </row>
    <row r="358" spans="1:9" x14ac:dyDescent="0.4">
      <c r="A358" s="22"/>
      <c r="B358" s="54"/>
      <c r="C358" s="55"/>
      <c r="D358" s="54"/>
      <c r="E358" s="54"/>
      <c r="F358" s="55"/>
      <c r="G358" s="124"/>
      <c r="H358" s="74"/>
      <c r="I358" s="80"/>
    </row>
    <row r="359" spans="1:9" x14ac:dyDescent="0.4">
      <c r="A359" s="22"/>
      <c r="B359" s="54"/>
      <c r="C359" s="55"/>
      <c r="D359" s="54"/>
      <c r="E359" s="54"/>
      <c r="F359" s="55"/>
      <c r="G359" s="124"/>
      <c r="H359" s="74"/>
      <c r="I359" s="80"/>
    </row>
    <row r="360" spans="1:9" x14ac:dyDescent="0.4">
      <c r="A360" s="22"/>
      <c r="B360" s="54"/>
      <c r="C360" s="55"/>
      <c r="D360" s="54"/>
      <c r="E360" s="54"/>
      <c r="F360" s="55"/>
      <c r="G360" s="124"/>
      <c r="H360" s="74"/>
      <c r="I360" s="80"/>
    </row>
    <row r="361" spans="1:9" x14ac:dyDescent="0.4">
      <c r="A361" s="22"/>
      <c r="B361" s="54"/>
      <c r="C361" s="55"/>
      <c r="D361" s="54"/>
      <c r="E361" s="54"/>
      <c r="F361" s="55"/>
      <c r="G361" s="124"/>
      <c r="H361" s="74"/>
      <c r="I361" s="80"/>
    </row>
    <row r="362" spans="1:9" x14ac:dyDescent="0.4">
      <c r="A362" s="22"/>
      <c r="B362" s="54"/>
      <c r="C362" s="55"/>
      <c r="D362" s="54"/>
      <c r="E362" s="54"/>
      <c r="F362" s="55"/>
      <c r="G362" s="124"/>
      <c r="H362" s="74"/>
      <c r="I362" s="80"/>
    </row>
    <row r="363" spans="1:9" x14ac:dyDescent="0.4">
      <c r="A363" s="22"/>
      <c r="B363" s="54"/>
      <c r="C363" s="55"/>
      <c r="D363" s="54"/>
      <c r="E363" s="54"/>
      <c r="F363" s="55"/>
      <c r="G363" s="124"/>
      <c r="H363" s="74"/>
      <c r="I363" s="80"/>
    </row>
    <row r="364" spans="1:9" x14ac:dyDescent="0.4">
      <c r="A364" s="22"/>
      <c r="B364" s="54"/>
      <c r="C364" s="55"/>
      <c r="D364" s="54"/>
      <c r="E364" s="54"/>
      <c r="F364" s="55"/>
      <c r="G364" s="124"/>
      <c r="H364" s="74"/>
      <c r="I364" s="80"/>
    </row>
    <row r="365" spans="1:9" x14ac:dyDescent="0.4">
      <c r="A365" s="22"/>
      <c r="B365" s="54"/>
      <c r="C365" s="55"/>
      <c r="D365" s="54"/>
      <c r="E365" s="54"/>
      <c r="F365" s="55"/>
      <c r="G365" s="124"/>
      <c r="H365" s="74"/>
      <c r="I365" s="80"/>
    </row>
    <row r="366" spans="1:9" x14ac:dyDescent="0.4">
      <c r="A366" s="22"/>
      <c r="B366" s="54"/>
      <c r="C366" s="55"/>
      <c r="D366" s="54"/>
      <c r="E366" s="54"/>
      <c r="F366" s="55"/>
      <c r="G366" s="124"/>
      <c r="H366" s="74"/>
      <c r="I366" s="80"/>
    </row>
    <row r="367" spans="1:9" x14ac:dyDescent="0.4">
      <c r="A367" s="22"/>
      <c r="B367" s="54"/>
      <c r="C367" s="55"/>
      <c r="D367" s="54"/>
      <c r="E367" s="54"/>
      <c r="F367" s="55"/>
      <c r="G367" s="124"/>
      <c r="H367" s="74"/>
      <c r="I367" s="80"/>
    </row>
    <row r="368" spans="1:9" x14ac:dyDescent="0.4">
      <c r="A368" s="22"/>
      <c r="B368" s="54"/>
      <c r="C368" s="55"/>
      <c r="D368" s="54"/>
      <c r="E368" s="54"/>
      <c r="F368" s="55"/>
      <c r="G368" s="124"/>
      <c r="H368" s="74"/>
      <c r="I368" s="80"/>
    </row>
    <row r="369" spans="1:9" x14ac:dyDescent="0.4">
      <c r="A369" s="22"/>
      <c r="B369" s="54"/>
      <c r="C369" s="55"/>
      <c r="D369" s="54"/>
      <c r="E369" s="54"/>
      <c r="F369" s="55"/>
      <c r="G369" s="124"/>
      <c r="H369" s="74"/>
      <c r="I369" s="80"/>
    </row>
    <row r="370" spans="1:9" x14ac:dyDescent="0.4">
      <c r="A370" s="22"/>
      <c r="B370" s="54"/>
      <c r="C370" s="55"/>
      <c r="D370" s="54"/>
      <c r="E370" s="54"/>
      <c r="F370" s="55"/>
      <c r="G370" s="124"/>
      <c r="H370" s="74"/>
      <c r="I370" s="80"/>
    </row>
    <row r="371" spans="1:9" x14ac:dyDescent="0.4">
      <c r="A371" s="22"/>
      <c r="B371" s="54"/>
      <c r="C371" s="55"/>
      <c r="D371" s="54"/>
      <c r="E371" s="54"/>
      <c r="F371" s="55"/>
      <c r="G371" s="124"/>
      <c r="H371" s="74"/>
      <c r="I371" s="80"/>
    </row>
    <row r="372" spans="1:9" x14ac:dyDescent="0.4">
      <c r="A372" s="22"/>
      <c r="B372" s="54"/>
      <c r="C372" s="55"/>
      <c r="D372" s="54"/>
      <c r="E372" s="54"/>
      <c r="F372" s="55"/>
      <c r="G372" s="124"/>
      <c r="H372" s="74"/>
      <c r="I372" s="80"/>
    </row>
    <row r="373" spans="1:9" x14ac:dyDescent="0.4">
      <c r="A373" s="22"/>
      <c r="B373" s="54"/>
      <c r="C373" s="55"/>
      <c r="D373" s="54"/>
      <c r="E373" s="54"/>
      <c r="F373" s="55"/>
      <c r="G373" s="124"/>
      <c r="H373" s="74"/>
      <c r="I373" s="80"/>
    </row>
    <row r="374" spans="1:9" x14ac:dyDescent="0.4">
      <c r="A374" s="22"/>
      <c r="B374" s="54"/>
      <c r="C374" s="55"/>
      <c r="D374" s="54"/>
      <c r="E374" s="54"/>
      <c r="F374" s="55"/>
      <c r="G374" s="124"/>
      <c r="H374" s="74"/>
      <c r="I374" s="80"/>
    </row>
    <row r="375" spans="1:9" x14ac:dyDescent="0.4">
      <c r="A375" s="22"/>
      <c r="B375" s="54"/>
      <c r="C375" s="55"/>
      <c r="D375" s="54"/>
      <c r="E375" s="54"/>
      <c r="F375" s="55"/>
      <c r="G375" s="124"/>
      <c r="H375" s="74"/>
      <c r="I375" s="80"/>
    </row>
    <row r="376" spans="1:9" x14ac:dyDescent="0.4">
      <c r="A376" s="22"/>
      <c r="B376" s="54"/>
      <c r="C376" s="55"/>
      <c r="D376" s="54"/>
      <c r="E376" s="54"/>
      <c r="F376" s="55"/>
      <c r="G376" s="124"/>
      <c r="H376" s="74"/>
      <c r="I376" s="80"/>
    </row>
    <row r="377" spans="1:9" x14ac:dyDescent="0.4">
      <c r="A377" s="22"/>
      <c r="B377" s="54"/>
      <c r="C377" s="55"/>
      <c r="D377" s="54"/>
      <c r="E377" s="54"/>
      <c r="F377" s="55"/>
      <c r="G377" s="124"/>
      <c r="H377" s="74"/>
      <c r="I377" s="80"/>
    </row>
    <row r="378" spans="1:9" x14ac:dyDescent="0.4">
      <c r="A378" s="22"/>
      <c r="B378" s="54"/>
      <c r="C378" s="55"/>
      <c r="D378" s="54"/>
      <c r="E378" s="54"/>
      <c r="F378" s="55"/>
      <c r="G378" s="124"/>
      <c r="H378" s="74"/>
      <c r="I378" s="80"/>
    </row>
    <row r="379" spans="1:9" x14ac:dyDescent="0.4">
      <c r="A379" s="22"/>
      <c r="B379" s="54"/>
      <c r="C379" s="55"/>
      <c r="D379" s="54"/>
      <c r="E379" s="54"/>
      <c r="F379" s="55"/>
      <c r="G379" s="124"/>
      <c r="H379" s="74"/>
      <c r="I379" s="80"/>
    </row>
    <row r="380" spans="1:9" x14ac:dyDescent="0.4">
      <c r="A380" s="22"/>
      <c r="B380" s="54"/>
      <c r="C380" s="55"/>
      <c r="D380" s="54"/>
      <c r="E380" s="54"/>
      <c r="F380" s="55"/>
      <c r="G380" s="124"/>
      <c r="H380" s="74"/>
      <c r="I380" s="80"/>
    </row>
    <row r="381" spans="1:9" x14ac:dyDescent="0.4">
      <c r="A381" s="22"/>
      <c r="B381" s="54"/>
      <c r="C381" s="55"/>
      <c r="D381" s="54"/>
      <c r="E381" s="54"/>
      <c r="F381" s="55"/>
      <c r="G381" s="124"/>
      <c r="H381" s="74"/>
      <c r="I381" s="80"/>
    </row>
    <row r="382" spans="1:9" x14ac:dyDescent="0.4">
      <c r="A382" s="22"/>
      <c r="B382" s="54"/>
      <c r="C382" s="55"/>
      <c r="D382" s="54"/>
      <c r="E382" s="54"/>
      <c r="F382" s="55"/>
      <c r="G382" s="124"/>
      <c r="H382" s="74"/>
      <c r="I382" s="80"/>
    </row>
    <row r="383" spans="1:9" x14ac:dyDescent="0.4">
      <c r="A383" s="22"/>
      <c r="B383" s="54"/>
      <c r="C383" s="55"/>
      <c r="D383" s="54"/>
      <c r="E383" s="54"/>
      <c r="F383" s="55"/>
      <c r="G383" s="124"/>
      <c r="H383" s="74"/>
      <c r="I383" s="80"/>
    </row>
    <row r="384" spans="1:9" x14ac:dyDescent="0.4">
      <c r="A384" s="59"/>
      <c r="B384" s="54"/>
      <c r="C384" s="55"/>
      <c r="D384" s="54"/>
      <c r="E384" s="54"/>
      <c r="F384" s="55"/>
      <c r="G384" s="124"/>
      <c r="H384" s="74"/>
      <c r="I384" s="80"/>
    </row>
    <row r="385" spans="1:9" x14ac:dyDescent="0.4">
      <c r="A385" s="59"/>
      <c r="B385" s="54"/>
      <c r="C385" s="55"/>
      <c r="D385" s="54"/>
      <c r="E385" s="54"/>
      <c r="F385" s="55"/>
      <c r="G385" s="124"/>
      <c r="H385" s="74"/>
      <c r="I385" s="80"/>
    </row>
    <row r="386" spans="1:9" x14ac:dyDescent="0.4">
      <c r="A386" s="59"/>
      <c r="B386" s="54"/>
      <c r="C386" s="55"/>
      <c r="D386" s="54"/>
      <c r="E386" s="54"/>
      <c r="F386" s="55"/>
      <c r="G386" s="124"/>
      <c r="H386" s="74"/>
      <c r="I386" s="80"/>
    </row>
    <row r="387" spans="1:9" x14ac:dyDescent="0.4">
      <c r="A387" s="59"/>
      <c r="B387" s="54"/>
      <c r="C387" s="55"/>
      <c r="D387" s="54"/>
      <c r="E387" s="54"/>
      <c r="F387" s="55"/>
      <c r="G387" s="124"/>
      <c r="H387" s="74"/>
      <c r="I387" s="80"/>
    </row>
    <row r="388" spans="1:9" x14ac:dyDescent="0.4">
      <c r="A388" s="59"/>
      <c r="B388" s="54"/>
      <c r="C388" s="55"/>
      <c r="D388" s="54"/>
      <c r="E388" s="54"/>
      <c r="F388" s="55"/>
      <c r="G388" s="124"/>
      <c r="H388" s="74"/>
      <c r="I388" s="80"/>
    </row>
    <row r="389" spans="1:9" x14ac:dyDescent="0.4">
      <c r="A389" s="59"/>
      <c r="B389" s="54"/>
      <c r="C389" s="55"/>
      <c r="D389" s="54"/>
      <c r="E389" s="54"/>
      <c r="F389" s="55"/>
      <c r="G389" s="124"/>
      <c r="H389" s="74"/>
      <c r="I389" s="80"/>
    </row>
    <row r="390" spans="1:9" x14ac:dyDescent="0.4">
      <c r="A390" s="59"/>
      <c r="B390" s="54"/>
      <c r="C390" s="55"/>
      <c r="D390" s="54"/>
      <c r="E390" s="54"/>
      <c r="F390" s="55"/>
      <c r="G390" s="124"/>
      <c r="H390" s="74"/>
      <c r="I390" s="80"/>
    </row>
    <row r="391" spans="1:9" x14ac:dyDescent="0.4">
      <c r="A391" s="59"/>
      <c r="B391" s="54"/>
      <c r="C391" s="55"/>
      <c r="D391" s="54"/>
      <c r="E391" s="54"/>
      <c r="F391" s="55"/>
      <c r="G391" s="124"/>
      <c r="H391" s="74"/>
      <c r="I391" s="80"/>
    </row>
    <row r="392" spans="1:9" x14ac:dyDescent="0.4">
      <c r="A392" s="59"/>
      <c r="B392" s="54"/>
      <c r="C392" s="55"/>
      <c r="D392" s="54"/>
      <c r="E392" s="54"/>
      <c r="F392" s="55"/>
      <c r="G392" s="124"/>
      <c r="H392" s="74"/>
      <c r="I392" s="80"/>
    </row>
    <row r="393" spans="1:9" x14ac:dyDescent="0.4">
      <c r="A393" s="59"/>
      <c r="B393" s="54"/>
      <c r="C393" s="55"/>
      <c r="D393" s="54"/>
      <c r="E393" s="54"/>
      <c r="F393" s="55"/>
      <c r="G393" s="124"/>
      <c r="H393" s="74"/>
      <c r="I393" s="80"/>
    </row>
    <row r="394" spans="1:9" x14ac:dyDescent="0.4">
      <c r="A394" s="59"/>
      <c r="B394" s="54"/>
      <c r="C394" s="55"/>
      <c r="D394" s="54"/>
      <c r="E394" s="54"/>
      <c r="F394" s="55"/>
      <c r="G394" s="124"/>
      <c r="H394" s="74"/>
      <c r="I394" s="80"/>
    </row>
    <row r="395" spans="1:9" x14ac:dyDescent="0.4">
      <c r="A395" s="59"/>
      <c r="B395" s="54"/>
      <c r="C395" s="55"/>
      <c r="D395" s="54"/>
      <c r="E395" s="54"/>
      <c r="F395" s="55"/>
      <c r="G395" s="124"/>
      <c r="H395" s="74"/>
      <c r="I395" s="80"/>
    </row>
    <row r="396" spans="1:9" x14ac:dyDescent="0.4">
      <c r="A396" s="59"/>
      <c r="B396" s="54"/>
      <c r="C396" s="55"/>
      <c r="D396" s="54"/>
      <c r="E396" s="54"/>
      <c r="F396" s="55"/>
      <c r="G396" s="124"/>
      <c r="H396" s="74"/>
      <c r="I396" s="80"/>
    </row>
    <row r="397" spans="1:9" x14ac:dyDescent="0.4">
      <c r="A397" s="59"/>
      <c r="B397" s="54"/>
      <c r="C397" s="55"/>
      <c r="D397" s="54"/>
      <c r="E397" s="54"/>
      <c r="F397" s="55"/>
      <c r="G397" s="124"/>
      <c r="H397" s="74"/>
      <c r="I397" s="80"/>
    </row>
    <row r="398" spans="1:9" x14ac:dyDescent="0.4">
      <c r="A398" s="59"/>
      <c r="B398" s="54"/>
      <c r="C398" s="55"/>
      <c r="D398" s="54"/>
      <c r="E398" s="54"/>
      <c r="F398" s="55"/>
      <c r="G398" s="124"/>
      <c r="H398" s="74"/>
      <c r="I398" s="80"/>
    </row>
    <row r="399" spans="1:9" x14ac:dyDescent="0.4">
      <c r="A399" s="59"/>
      <c r="B399" s="54"/>
      <c r="C399" s="55"/>
      <c r="D399" s="54"/>
      <c r="E399" s="54"/>
      <c r="F399" s="55"/>
      <c r="G399" s="124"/>
      <c r="H399" s="74"/>
      <c r="I399" s="80"/>
    </row>
    <row r="400" spans="1:9" x14ac:dyDescent="0.4">
      <c r="A400" s="59"/>
      <c r="B400" s="54"/>
      <c r="C400" s="55"/>
      <c r="D400" s="54"/>
      <c r="E400" s="54"/>
      <c r="F400" s="55"/>
      <c r="G400" s="124"/>
      <c r="H400" s="74"/>
      <c r="I400" s="80"/>
    </row>
    <row r="401" spans="1:9" x14ac:dyDescent="0.4">
      <c r="A401" s="59"/>
      <c r="B401" s="54"/>
      <c r="C401" s="55"/>
      <c r="D401" s="54"/>
      <c r="E401" s="54"/>
      <c r="F401" s="55"/>
      <c r="G401" s="124"/>
      <c r="H401" s="74"/>
      <c r="I401" s="80"/>
    </row>
    <row r="402" spans="1:9" x14ac:dyDescent="0.4">
      <c r="A402" s="59"/>
      <c r="B402" s="54"/>
      <c r="C402" s="55"/>
      <c r="D402" s="54"/>
      <c r="E402" s="54"/>
      <c r="F402" s="55"/>
      <c r="G402" s="124"/>
      <c r="H402" s="74"/>
      <c r="I402" s="80"/>
    </row>
    <row r="403" spans="1:9" x14ac:dyDescent="0.4">
      <c r="A403" s="59"/>
      <c r="B403" s="54"/>
      <c r="C403" s="55"/>
      <c r="D403" s="54"/>
      <c r="E403" s="54"/>
      <c r="F403" s="55"/>
      <c r="G403" s="122"/>
      <c r="H403" s="74"/>
      <c r="I403" s="80"/>
    </row>
    <row r="404" spans="1:9" x14ac:dyDescent="0.4">
      <c r="A404" s="59"/>
      <c r="B404" s="54"/>
      <c r="C404" s="55"/>
      <c r="D404" s="54"/>
      <c r="E404" s="54"/>
      <c r="F404" s="55"/>
      <c r="G404" s="74"/>
      <c r="H404" s="74"/>
      <c r="I404" s="80"/>
    </row>
    <row r="405" spans="1:9" x14ac:dyDescent="0.4">
      <c r="A405" s="59"/>
      <c r="B405" s="54"/>
      <c r="C405" s="55"/>
      <c r="D405" s="54"/>
      <c r="E405" s="54"/>
      <c r="F405" s="55"/>
      <c r="G405" s="74"/>
      <c r="H405" s="74"/>
      <c r="I405" s="80"/>
    </row>
    <row r="406" spans="1:9" x14ac:dyDescent="0.4">
      <c r="A406" s="59"/>
      <c r="B406" s="54"/>
      <c r="C406" s="55"/>
      <c r="D406" s="54"/>
      <c r="E406" s="54"/>
      <c r="F406" s="55"/>
      <c r="G406" s="74"/>
      <c r="H406" s="74"/>
      <c r="I406" s="80"/>
    </row>
    <row r="407" spans="1:9" x14ac:dyDescent="0.4">
      <c r="A407" s="59"/>
      <c r="B407" s="54"/>
      <c r="C407" s="55"/>
      <c r="D407" s="54"/>
      <c r="E407" s="54"/>
      <c r="F407" s="55"/>
      <c r="G407" s="74"/>
      <c r="H407" s="74"/>
      <c r="I407" s="80"/>
    </row>
    <row r="408" spans="1:9" x14ac:dyDescent="0.4">
      <c r="A408" s="59"/>
      <c r="B408" s="54"/>
      <c r="C408" s="55"/>
      <c r="D408" s="54"/>
      <c r="E408" s="54"/>
      <c r="F408" s="55"/>
      <c r="G408" s="74"/>
      <c r="H408" s="74"/>
      <c r="I408" s="80"/>
    </row>
    <row r="409" spans="1:9" x14ac:dyDescent="0.4">
      <c r="A409" s="59"/>
      <c r="B409" s="54"/>
      <c r="C409" s="55"/>
      <c r="D409" s="54"/>
      <c r="E409" s="54"/>
      <c r="F409" s="55"/>
      <c r="G409" s="74"/>
      <c r="H409" s="74"/>
      <c r="I409" s="80"/>
    </row>
    <row r="410" spans="1:9" x14ac:dyDescent="0.4">
      <c r="A410" s="59"/>
      <c r="B410" s="54"/>
      <c r="C410" s="55"/>
      <c r="D410" s="54"/>
      <c r="E410" s="54"/>
      <c r="F410" s="55"/>
      <c r="G410" s="74"/>
      <c r="H410" s="74"/>
      <c r="I410" s="80"/>
    </row>
    <row r="411" spans="1:9" x14ac:dyDescent="0.4">
      <c r="A411" s="59"/>
      <c r="B411" s="54"/>
      <c r="C411" s="55"/>
      <c r="D411" s="54"/>
      <c r="E411" s="54"/>
      <c r="F411" s="55"/>
      <c r="G411" s="74"/>
      <c r="H411" s="74"/>
      <c r="I411" s="80"/>
    </row>
    <row r="412" spans="1:9" x14ac:dyDescent="0.4">
      <c r="A412" s="59"/>
      <c r="B412" s="54"/>
      <c r="C412" s="55"/>
      <c r="D412" s="54"/>
      <c r="E412" s="54"/>
      <c r="F412" s="55"/>
      <c r="G412" s="74"/>
      <c r="H412" s="74"/>
      <c r="I412" s="80"/>
    </row>
    <row r="413" spans="1:9" x14ac:dyDescent="0.4">
      <c r="A413" s="59"/>
      <c r="B413" s="54"/>
      <c r="C413" s="55"/>
      <c r="D413" s="54"/>
      <c r="E413" s="54"/>
      <c r="F413" s="55"/>
      <c r="G413" s="74"/>
      <c r="H413" s="74"/>
      <c r="I413" s="80"/>
    </row>
    <row r="414" spans="1:9" x14ac:dyDescent="0.4">
      <c r="A414" s="59"/>
      <c r="B414" s="54"/>
      <c r="C414" s="55"/>
      <c r="D414" s="54"/>
      <c r="E414" s="54"/>
      <c r="F414" s="55"/>
      <c r="G414" s="74"/>
      <c r="H414" s="74"/>
      <c r="I414" s="80"/>
    </row>
    <row r="415" spans="1:9" x14ac:dyDescent="0.4">
      <c r="A415" s="59"/>
      <c r="B415" s="54"/>
      <c r="C415" s="55"/>
      <c r="D415" s="54"/>
      <c r="E415" s="54"/>
      <c r="F415" s="55"/>
      <c r="G415" s="74"/>
      <c r="H415" s="74"/>
      <c r="I415" s="80"/>
    </row>
    <row r="416" spans="1:9" x14ac:dyDescent="0.4">
      <c r="A416" s="59"/>
      <c r="B416" s="54"/>
      <c r="C416" s="55"/>
      <c r="D416" s="54"/>
      <c r="E416" s="54"/>
      <c r="F416" s="55"/>
      <c r="G416" s="74"/>
      <c r="H416" s="74"/>
      <c r="I416" s="80"/>
    </row>
    <row r="417" spans="1:9" x14ac:dyDescent="0.4">
      <c r="A417" s="59"/>
      <c r="B417" s="54"/>
      <c r="C417" s="55"/>
      <c r="D417" s="54"/>
      <c r="E417" s="54"/>
      <c r="F417" s="55"/>
      <c r="G417" s="74"/>
      <c r="H417" s="74"/>
      <c r="I417" s="80"/>
    </row>
    <row r="418" spans="1:9" x14ac:dyDescent="0.4">
      <c r="A418" s="59"/>
      <c r="B418" s="54"/>
      <c r="C418" s="55"/>
      <c r="D418" s="54"/>
      <c r="E418" s="54"/>
      <c r="F418" s="55"/>
      <c r="G418" s="74"/>
      <c r="H418" s="74"/>
      <c r="I418" s="80"/>
    </row>
    <row r="419" spans="1:9" x14ac:dyDescent="0.4">
      <c r="A419" s="59"/>
      <c r="B419" s="54"/>
      <c r="C419" s="55"/>
      <c r="D419" s="54"/>
      <c r="E419" s="54"/>
      <c r="F419" s="55"/>
      <c r="G419" s="74"/>
      <c r="H419" s="74"/>
      <c r="I419" s="80"/>
    </row>
    <row r="420" spans="1:9" x14ac:dyDescent="0.4">
      <c r="A420" s="59"/>
      <c r="B420" s="54"/>
      <c r="C420" s="55"/>
      <c r="D420" s="54"/>
      <c r="E420" s="54"/>
      <c r="F420" s="55"/>
      <c r="G420" s="74"/>
      <c r="H420" s="74"/>
      <c r="I420" s="80"/>
    </row>
    <row r="421" spans="1:9" x14ac:dyDescent="0.4">
      <c r="A421" s="59"/>
      <c r="B421" s="54"/>
      <c r="C421" s="55"/>
      <c r="D421" s="54"/>
      <c r="E421" s="54"/>
      <c r="F421" s="55"/>
      <c r="G421" s="74"/>
      <c r="H421" s="74"/>
      <c r="I421" s="80"/>
    </row>
    <row r="422" spans="1:9" x14ac:dyDescent="0.4">
      <c r="A422" s="59"/>
      <c r="B422" s="54"/>
      <c r="C422" s="55"/>
      <c r="D422" s="54"/>
      <c r="E422" s="54"/>
      <c r="F422" s="55"/>
      <c r="G422" s="74"/>
      <c r="H422" s="74"/>
      <c r="I422" s="80"/>
    </row>
    <row r="423" spans="1:9" x14ac:dyDescent="0.4">
      <c r="A423" s="59"/>
      <c r="B423" s="54"/>
      <c r="C423" s="55"/>
      <c r="D423" s="54"/>
      <c r="E423" s="54"/>
      <c r="F423" s="55"/>
      <c r="G423" s="74"/>
      <c r="H423" s="74"/>
      <c r="I423" s="80"/>
    </row>
    <row r="424" spans="1:9" x14ac:dyDescent="0.4">
      <c r="A424" s="59"/>
      <c r="B424" s="54"/>
      <c r="C424" s="55"/>
      <c r="D424" s="54"/>
      <c r="E424" s="54"/>
      <c r="F424" s="55"/>
      <c r="G424" s="74"/>
      <c r="H424" s="74"/>
      <c r="I424" s="80"/>
    </row>
    <row r="425" spans="1:9" x14ac:dyDescent="0.4">
      <c r="A425" s="59"/>
      <c r="B425" s="54"/>
      <c r="C425" s="55"/>
      <c r="D425" s="54"/>
      <c r="E425" s="54"/>
      <c r="F425" s="55"/>
      <c r="G425" s="74"/>
      <c r="H425" s="74"/>
      <c r="I425" s="80"/>
    </row>
    <row r="426" spans="1:9" x14ac:dyDescent="0.4">
      <c r="A426" s="59"/>
      <c r="B426" s="54"/>
      <c r="C426" s="55"/>
      <c r="D426" s="54"/>
      <c r="E426" s="54"/>
      <c r="F426" s="55"/>
      <c r="G426" s="74"/>
      <c r="H426" s="74"/>
      <c r="I426" s="80"/>
    </row>
    <row r="427" spans="1:9" x14ac:dyDescent="0.4">
      <c r="A427" s="59"/>
      <c r="B427" s="54"/>
      <c r="C427" s="55"/>
      <c r="D427" s="54"/>
      <c r="E427" s="54"/>
      <c r="F427" s="55"/>
      <c r="G427" s="74"/>
      <c r="H427" s="74"/>
      <c r="I427" s="80"/>
    </row>
    <row r="428" spans="1:9" x14ac:dyDescent="0.4">
      <c r="A428" s="59"/>
      <c r="B428" s="54"/>
      <c r="C428" s="55"/>
      <c r="D428" s="54"/>
      <c r="E428" s="54"/>
      <c r="F428" s="55"/>
      <c r="G428" s="74"/>
      <c r="H428" s="74"/>
      <c r="I428" s="80"/>
    </row>
    <row r="429" spans="1:9" x14ac:dyDescent="0.4">
      <c r="A429" s="59"/>
      <c r="B429" s="54"/>
      <c r="C429" s="55"/>
      <c r="D429" s="54"/>
      <c r="E429" s="54"/>
      <c r="F429" s="55"/>
      <c r="G429" s="74"/>
      <c r="H429" s="74"/>
      <c r="I429" s="80"/>
    </row>
    <row r="430" spans="1:9" x14ac:dyDescent="0.4">
      <c r="A430" s="59"/>
      <c r="B430" s="54"/>
      <c r="C430" s="55"/>
      <c r="D430" s="54"/>
      <c r="E430" s="54"/>
      <c r="F430" s="55"/>
      <c r="G430" s="74"/>
      <c r="H430" s="74"/>
      <c r="I430" s="80"/>
    </row>
    <row r="431" spans="1:9" x14ac:dyDescent="0.4">
      <c r="A431" s="59"/>
      <c r="B431" s="54"/>
      <c r="C431" s="55"/>
      <c r="D431" s="54"/>
      <c r="E431" s="54"/>
      <c r="F431" s="55"/>
      <c r="G431" s="74"/>
      <c r="H431" s="74"/>
      <c r="I431" s="80"/>
    </row>
    <row r="432" spans="1:9" x14ac:dyDescent="0.4">
      <c r="A432" s="59"/>
      <c r="B432" s="54"/>
      <c r="C432" s="55"/>
      <c r="D432" s="54"/>
      <c r="E432" s="54"/>
      <c r="F432" s="55"/>
      <c r="G432" s="74"/>
      <c r="H432" s="74"/>
      <c r="I432" s="80"/>
    </row>
    <row r="433" spans="1:9" x14ac:dyDescent="0.4">
      <c r="A433" s="59"/>
      <c r="B433" s="54"/>
      <c r="C433" s="55"/>
      <c r="D433" s="54"/>
      <c r="E433" s="54"/>
      <c r="F433" s="55"/>
      <c r="G433" s="74"/>
      <c r="H433" s="74"/>
      <c r="I433" s="80"/>
    </row>
    <row r="434" spans="1:9" x14ac:dyDescent="0.4">
      <c r="A434" s="59"/>
      <c r="B434" s="54"/>
      <c r="C434" s="55"/>
      <c r="D434" s="54"/>
      <c r="E434" s="54"/>
      <c r="F434" s="55"/>
      <c r="G434" s="74"/>
      <c r="H434" s="74"/>
      <c r="I434" s="80"/>
    </row>
    <row r="435" spans="1:9" x14ac:dyDescent="0.4">
      <c r="A435" s="59"/>
      <c r="B435" s="54"/>
      <c r="C435" s="55"/>
      <c r="D435" s="54"/>
      <c r="E435" s="54"/>
      <c r="F435" s="55"/>
      <c r="G435" s="74"/>
      <c r="H435" s="74"/>
      <c r="I435" s="80"/>
    </row>
    <row r="436" spans="1:9" x14ac:dyDescent="0.4">
      <c r="A436" s="59"/>
      <c r="B436" s="54"/>
      <c r="C436" s="55"/>
      <c r="D436" s="54"/>
      <c r="E436" s="54"/>
      <c r="F436" s="55"/>
      <c r="G436" s="74"/>
      <c r="H436" s="74"/>
      <c r="I436" s="80"/>
    </row>
    <row r="437" spans="1:9" x14ac:dyDescent="0.4">
      <c r="A437" s="59"/>
      <c r="B437" s="54"/>
      <c r="C437" s="55"/>
      <c r="D437" s="54"/>
      <c r="E437" s="54"/>
      <c r="F437" s="55"/>
      <c r="G437" s="74"/>
      <c r="H437" s="74"/>
      <c r="I437" s="80"/>
    </row>
    <row r="438" spans="1:9" x14ac:dyDescent="0.4">
      <c r="A438" s="59"/>
      <c r="B438" s="54"/>
      <c r="C438" s="55"/>
      <c r="D438" s="54"/>
      <c r="E438" s="54"/>
      <c r="F438" s="55"/>
      <c r="G438" s="74"/>
      <c r="H438" s="74"/>
      <c r="I438" s="80"/>
    </row>
    <row r="439" spans="1:9" x14ac:dyDescent="0.4">
      <c r="A439" s="59"/>
      <c r="B439" s="54"/>
      <c r="C439" s="55"/>
      <c r="D439" s="54"/>
      <c r="E439" s="54"/>
      <c r="F439" s="55"/>
      <c r="G439" s="74"/>
      <c r="H439" s="74"/>
      <c r="I439" s="80"/>
    </row>
    <row r="440" spans="1:9" x14ac:dyDescent="0.4">
      <c r="A440" s="59"/>
      <c r="B440" s="54"/>
      <c r="C440" s="55"/>
      <c r="D440" s="54"/>
      <c r="E440" s="54"/>
      <c r="F440" s="55"/>
      <c r="G440" s="74"/>
      <c r="H440" s="74"/>
      <c r="I440" s="80"/>
    </row>
    <row r="441" spans="1:9" x14ac:dyDescent="0.4">
      <c r="A441" s="59"/>
      <c r="B441" s="54"/>
      <c r="C441" s="55"/>
      <c r="D441" s="54"/>
      <c r="E441" s="54"/>
      <c r="F441" s="55"/>
      <c r="G441" s="74"/>
      <c r="H441" s="74"/>
      <c r="I441" s="80"/>
    </row>
    <row r="442" spans="1:9" x14ac:dyDescent="0.4">
      <c r="A442" s="59"/>
      <c r="B442" s="54"/>
      <c r="C442" s="55"/>
      <c r="D442" s="54"/>
      <c r="E442" s="54"/>
      <c r="F442" s="55"/>
      <c r="G442" s="74"/>
      <c r="H442" s="74"/>
      <c r="I442" s="80"/>
    </row>
    <row r="443" spans="1:9" x14ac:dyDescent="0.4">
      <c r="A443" s="59"/>
      <c r="B443" s="54"/>
      <c r="C443" s="55"/>
      <c r="D443" s="54"/>
      <c r="E443" s="54"/>
      <c r="F443" s="55"/>
      <c r="G443" s="74"/>
      <c r="H443" s="74"/>
      <c r="I443" s="80"/>
    </row>
    <row r="444" spans="1:9" x14ac:dyDescent="0.4">
      <c r="A444" s="59"/>
      <c r="B444" s="54"/>
      <c r="C444" s="55"/>
      <c r="D444" s="54"/>
      <c r="E444" s="54"/>
      <c r="F444" s="55"/>
      <c r="G444" s="74"/>
      <c r="H444" s="74"/>
      <c r="I444" s="80"/>
    </row>
    <row r="445" spans="1:9" x14ac:dyDescent="0.4">
      <c r="A445" s="59"/>
      <c r="B445" s="54"/>
      <c r="C445" s="55"/>
      <c r="D445" s="54"/>
      <c r="E445" s="54"/>
      <c r="F445" s="55"/>
      <c r="G445" s="74"/>
      <c r="H445" s="116"/>
      <c r="I445" s="81"/>
    </row>
    <row r="446" spans="1:9" x14ac:dyDescent="0.4">
      <c r="A446" s="59"/>
      <c r="B446" s="54"/>
      <c r="C446" s="55"/>
      <c r="D446" s="54"/>
      <c r="E446" s="54"/>
      <c r="F446" s="55"/>
      <c r="G446" s="74"/>
      <c r="H446" s="74"/>
    </row>
    <row r="447" spans="1:9" x14ac:dyDescent="0.4">
      <c r="A447" s="59"/>
      <c r="B447" s="54"/>
      <c r="C447" s="55"/>
      <c r="D447" s="54"/>
      <c r="E447" s="54"/>
      <c r="F447" s="55"/>
      <c r="G447" s="74"/>
      <c r="H447" s="74"/>
    </row>
    <row r="448" spans="1:9" x14ac:dyDescent="0.4">
      <c r="A448" s="59"/>
      <c r="B448" s="54"/>
      <c r="C448" s="55"/>
      <c r="D448" s="54"/>
      <c r="E448" s="54"/>
      <c r="F448" s="55"/>
      <c r="G448" s="74"/>
      <c r="H448" s="74"/>
    </row>
    <row r="449" spans="1:8" x14ac:dyDescent="0.4">
      <c r="A449" s="59"/>
      <c r="B449" s="54"/>
      <c r="C449" s="55"/>
      <c r="D449" s="54"/>
      <c r="E449" s="54"/>
      <c r="F449" s="55"/>
      <c r="G449" s="74"/>
      <c r="H449" s="74"/>
    </row>
    <row r="450" spans="1:8" x14ac:dyDescent="0.4">
      <c r="A450" s="59"/>
      <c r="B450" s="54"/>
      <c r="C450" s="55"/>
      <c r="D450" s="54"/>
      <c r="E450" s="54"/>
      <c r="F450" s="55"/>
      <c r="G450" s="74"/>
      <c r="H450" s="74"/>
    </row>
    <row r="451" spans="1:8" x14ac:dyDescent="0.4">
      <c r="A451" s="59"/>
      <c r="B451" s="54"/>
      <c r="C451" s="55"/>
      <c r="D451" s="54"/>
      <c r="E451" s="54"/>
      <c r="F451" s="55"/>
      <c r="G451" s="74"/>
      <c r="H451" s="74"/>
    </row>
    <row r="452" spans="1:8" x14ac:dyDescent="0.4">
      <c r="A452" s="59"/>
      <c r="B452" s="54"/>
      <c r="C452" s="55"/>
      <c r="D452" s="54"/>
      <c r="E452" s="54"/>
      <c r="F452" s="55"/>
      <c r="G452" s="74"/>
      <c r="H452" s="74"/>
    </row>
    <row r="453" spans="1:8" x14ac:dyDescent="0.4">
      <c r="A453" s="59"/>
      <c r="B453" s="54"/>
      <c r="C453" s="55"/>
      <c r="D453" s="54"/>
      <c r="E453" s="54"/>
      <c r="F453" s="55"/>
      <c r="G453" s="74"/>
      <c r="H453" s="74"/>
    </row>
    <row r="454" spans="1:8" x14ac:dyDescent="0.4">
      <c r="A454" s="59"/>
      <c r="B454" s="54"/>
      <c r="C454" s="55"/>
      <c r="D454" s="54"/>
      <c r="E454" s="54"/>
      <c r="F454" s="55"/>
      <c r="G454" s="74"/>
      <c r="H454" s="74"/>
    </row>
    <row r="455" spans="1:8" x14ac:dyDescent="0.4">
      <c r="A455" s="59"/>
      <c r="B455" s="54"/>
      <c r="C455" s="55"/>
      <c r="D455" s="54"/>
      <c r="E455" s="54"/>
      <c r="F455" s="55"/>
      <c r="G455" s="74"/>
      <c r="H455" s="74"/>
    </row>
    <row r="456" spans="1:8" x14ac:dyDescent="0.4">
      <c r="A456" s="59"/>
      <c r="B456" s="54"/>
      <c r="C456" s="55"/>
      <c r="D456" s="54"/>
      <c r="E456" s="54"/>
      <c r="F456" s="55"/>
      <c r="G456" s="74"/>
      <c r="H456" s="74"/>
    </row>
    <row r="457" spans="1:8" x14ac:dyDescent="0.4">
      <c r="A457" s="59"/>
      <c r="B457" s="54"/>
      <c r="C457" s="55"/>
      <c r="D457" s="54"/>
      <c r="E457" s="54"/>
      <c r="F457" s="55"/>
      <c r="G457" s="74"/>
      <c r="H457" s="74"/>
    </row>
    <row r="458" spans="1:8" x14ac:dyDescent="0.4">
      <c r="A458" s="59"/>
      <c r="B458" s="54"/>
      <c r="C458" s="55"/>
      <c r="D458" s="54"/>
      <c r="E458" s="54"/>
      <c r="F458" s="55"/>
      <c r="G458" s="74"/>
      <c r="H458" s="74"/>
    </row>
    <row r="459" spans="1:8" x14ac:dyDescent="0.4">
      <c r="A459" s="59"/>
      <c r="B459" s="54"/>
      <c r="C459" s="55"/>
      <c r="D459" s="54"/>
      <c r="E459" s="54"/>
      <c r="F459" s="55"/>
      <c r="G459" s="74"/>
      <c r="H459" s="74"/>
    </row>
    <row r="460" spans="1:8" x14ac:dyDescent="0.4">
      <c r="A460" s="59"/>
      <c r="B460" s="54"/>
      <c r="C460" s="55"/>
      <c r="D460" s="54"/>
      <c r="E460" s="54"/>
      <c r="F460" s="55"/>
      <c r="G460" s="74"/>
      <c r="H460" s="74"/>
    </row>
    <row r="461" spans="1:8" x14ac:dyDescent="0.4">
      <c r="A461" s="59"/>
      <c r="B461" s="54"/>
      <c r="C461" s="55"/>
      <c r="D461" s="54"/>
      <c r="E461" s="54"/>
      <c r="F461" s="55"/>
      <c r="G461" s="74"/>
      <c r="H461" s="74"/>
    </row>
    <row r="462" spans="1:8" x14ac:dyDescent="0.4">
      <c r="A462" s="59"/>
      <c r="B462" s="54"/>
      <c r="C462" s="55"/>
      <c r="D462" s="54"/>
      <c r="E462" s="54"/>
      <c r="F462" s="55"/>
      <c r="G462" s="74"/>
      <c r="H462" s="74"/>
    </row>
    <row r="463" spans="1:8" x14ac:dyDescent="0.4">
      <c r="A463" s="59"/>
      <c r="B463" s="54"/>
      <c r="C463" s="55"/>
      <c r="D463" s="54"/>
      <c r="E463" s="54"/>
      <c r="F463" s="55"/>
      <c r="G463" s="74"/>
      <c r="H463" s="74"/>
    </row>
    <row r="464" spans="1:8" x14ac:dyDescent="0.4">
      <c r="A464" s="59"/>
      <c r="B464" s="54"/>
      <c r="C464" s="55"/>
      <c r="D464" s="54"/>
      <c r="E464" s="54"/>
      <c r="F464" s="55"/>
      <c r="G464" s="74"/>
      <c r="H464" s="74"/>
    </row>
    <row r="465" spans="1:8" x14ac:dyDescent="0.4">
      <c r="A465" s="59"/>
      <c r="B465" s="54"/>
      <c r="C465" s="55"/>
      <c r="D465" s="54"/>
      <c r="E465" s="54"/>
      <c r="F465" s="55"/>
      <c r="G465" s="74"/>
      <c r="H465" s="74"/>
    </row>
    <row r="466" spans="1:8" x14ac:dyDescent="0.4">
      <c r="A466" s="59"/>
      <c r="B466" s="54"/>
      <c r="C466" s="55"/>
      <c r="D466" s="54"/>
      <c r="E466" s="54"/>
      <c r="F466" s="55"/>
      <c r="G466" s="74"/>
      <c r="H466" s="74"/>
    </row>
    <row r="467" spans="1:8" x14ac:dyDescent="0.4">
      <c r="A467" s="59"/>
      <c r="B467" s="54"/>
      <c r="C467" s="55"/>
      <c r="D467" s="54"/>
      <c r="E467" s="54"/>
      <c r="F467" s="55"/>
      <c r="G467" s="74"/>
      <c r="H467" s="74"/>
    </row>
    <row r="468" spans="1:8" x14ac:dyDescent="0.4">
      <c r="A468" s="59"/>
      <c r="B468" s="54"/>
      <c r="C468" s="55"/>
      <c r="D468" s="54"/>
      <c r="E468" s="54"/>
      <c r="F468" s="55"/>
      <c r="G468" s="74"/>
      <c r="H468" s="74"/>
    </row>
    <row r="469" spans="1:8" x14ac:dyDescent="0.4">
      <c r="A469" s="59"/>
      <c r="B469" s="54"/>
      <c r="C469" s="55"/>
      <c r="D469" s="54"/>
      <c r="E469" s="54"/>
      <c r="F469" s="55"/>
      <c r="G469" s="74"/>
      <c r="H469" s="74"/>
    </row>
    <row r="470" spans="1:8" x14ac:dyDescent="0.4">
      <c r="A470" s="59"/>
      <c r="B470" s="54"/>
      <c r="C470" s="55"/>
      <c r="D470" s="54"/>
      <c r="E470" s="54"/>
      <c r="F470" s="55"/>
      <c r="G470" s="74"/>
      <c r="H470" s="74"/>
    </row>
    <row r="471" spans="1:8" x14ac:dyDescent="0.4">
      <c r="A471" s="59"/>
      <c r="B471" s="54"/>
      <c r="C471" s="55"/>
      <c r="D471" s="54"/>
      <c r="E471" s="54"/>
      <c r="F471" s="55"/>
      <c r="G471" s="74"/>
      <c r="H471" s="74"/>
    </row>
    <row r="472" spans="1:8" x14ac:dyDescent="0.4">
      <c r="A472" s="59"/>
      <c r="B472" s="54"/>
      <c r="C472" s="55"/>
      <c r="D472" s="54"/>
      <c r="E472" s="54"/>
      <c r="F472" s="55"/>
      <c r="G472" s="74"/>
      <c r="H472" s="74"/>
    </row>
    <row r="473" spans="1:8" x14ac:dyDescent="0.4">
      <c r="A473" s="59"/>
      <c r="B473" s="54"/>
      <c r="C473" s="55"/>
      <c r="D473" s="54"/>
      <c r="E473" s="54"/>
      <c r="F473" s="55"/>
      <c r="G473" s="74"/>
      <c r="H473" s="74"/>
    </row>
    <row r="474" spans="1:8" x14ac:dyDescent="0.4">
      <c r="A474" s="59"/>
      <c r="B474" s="54"/>
      <c r="C474" s="55"/>
      <c r="D474" s="54"/>
      <c r="E474" s="54"/>
      <c r="F474" s="55"/>
      <c r="G474" s="74"/>
      <c r="H474" s="74"/>
    </row>
    <row r="475" spans="1:8" x14ac:dyDescent="0.4">
      <c r="A475" s="59"/>
      <c r="B475" s="54"/>
      <c r="C475" s="55"/>
      <c r="D475" s="54"/>
      <c r="E475" s="54"/>
      <c r="F475" s="55"/>
      <c r="G475" s="74"/>
      <c r="H475" s="74"/>
    </row>
    <row r="476" spans="1:8" x14ac:dyDescent="0.4">
      <c r="A476" s="59"/>
      <c r="B476" s="54"/>
      <c r="C476" s="55"/>
      <c r="D476" s="54"/>
      <c r="E476" s="54"/>
      <c r="F476" s="55"/>
      <c r="G476" s="74"/>
      <c r="H476" s="74"/>
    </row>
    <row r="477" spans="1:8" x14ac:dyDescent="0.4">
      <c r="A477" s="59"/>
      <c r="B477" s="54"/>
      <c r="C477" s="55"/>
      <c r="D477" s="54"/>
      <c r="E477" s="54"/>
      <c r="F477" s="55"/>
      <c r="G477" s="74"/>
      <c r="H477" s="74"/>
    </row>
    <row r="478" spans="1:8" x14ac:dyDescent="0.4">
      <c r="A478" s="59"/>
      <c r="B478" s="54"/>
      <c r="C478" s="55"/>
      <c r="D478" s="54"/>
      <c r="E478" s="54"/>
      <c r="F478" s="55"/>
      <c r="G478" s="74"/>
      <c r="H478" s="74"/>
    </row>
    <row r="479" spans="1:8" x14ac:dyDescent="0.4">
      <c r="A479" s="59"/>
      <c r="B479" s="54"/>
      <c r="C479" s="55"/>
      <c r="D479" s="54"/>
      <c r="E479" s="54"/>
      <c r="F479" s="55"/>
      <c r="G479" s="74"/>
      <c r="H479" s="74"/>
    </row>
    <row r="480" spans="1:8" x14ac:dyDescent="0.4">
      <c r="A480" s="59"/>
      <c r="B480" s="54"/>
      <c r="C480" s="55"/>
      <c r="D480" s="54"/>
      <c r="E480" s="54"/>
      <c r="F480" s="55"/>
      <c r="G480" s="74"/>
      <c r="H480" s="74"/>
    </row>
    <row r="481" spans="1:8" x14ac:dyDescent="0.4">
      <c r="A481" s="59"/>
      <c r="B481" s="54"/>
      <c r="C481" s="55"/>
      <c r="D481" s="54"/>
      <c r="E481" s="54"/>
      <c r="F481" s="55"/>
      <c r="G481" s="74"/>
      <c r="H481" s="74"/>
    </row>
    <row r="482" spans="1:8" x14ac:dyDescent="0.4">
      <c r="A482" s="59"/>
      <c r="B482" s="54"/>
      <c r="C482" s="55"/>
      <c r="D482" s="54"/>
      <c r="E482" s="54"/>
      <c r="F482" s="55"/>
      <c r="G482" s="74"/>
      <c r="H482" s="74"/>
    </row>
    <row r="483" spans="1:8" x14ac:dyDescent="0.4">
      <c r="A483" s="59"/>
      <c r="B483" s="54"/>
      <c r="C483" s="55"/>
      <c r="D483" s="54"/>
      <c r="E483" s="54"/>
      <c r="F483" s="55"/>
      <c r="G483" s="74"/>
      <c r="H483" s="74"/>
    </row>
    <row r="484" spans="1:8" x14ac:dyDescent="0.4">
      <c r="A484" s="59"/>
      <c r="B484" s="54"/>
      <c r="C484" s="55"/>
      <c r="D484" s="54"/>
      <c r="E484" s="54"/>
      <c r="F484" s="55"/>
      <c r="G484" s="74"/>
      <c r="H484" s="74"/>
    </row>
    <row r="485" spans="1:8" x14ac:dyDescent="0.4">
      <c r="A485" s="59"/>
      <c r="B485" s="54"/>
      <c r="C485" s="55"/>
      <c r="D485" s="54"/>
      <c r="E485" s="54"/>
      <c r="F485" s="55"/>
      <c r="G485" s="74"/>
      <c r="H485" s="74"/>
    </row>
    <row r="486" spans="1:8" x14ac:dyDescent="0.4">
      <c r="A486" s="59"/>
      <c r="B486" s="54"/>
      <c r="C486" s="55"/>
      <c r="D486" s="54"/>
      <c r="E486" s="54"/>
      <c r="F486" s="55"/>
      <c r="G486" s="74"/>
      <c r="H486" s="74"/>
    </row>
    <row r="487" spans="1:8" x14ac:dyDescent="0.4">
      <c r="A487" s="59"/>
      <c r="B487" s="54"/>
      <c r="C487" s="55"/>
      <c r="D487" s="54"/>
      <c r="E487" s="54"/>
      <c r="F487" s="55"/>
      <c r="G487" s="74"/>
      <c r="H487" s="74"/>
    </row>
    <row r="488" spans="1:8" x14ac:dyDescent="0.4">
      <c r="A488" s="59"/>
      <c r="B488" s="54"/>
      <c r="C488" s="55"/>
      <c r="D488" s="54"/>
      <c r="E488" s="54"/>
      <c r="F488" s="55"/>
      <c r="G488" s="74"/>
      <c r="H488" s="74"/>
    </row>
    <row r="489" spans="1:8" x14ac:dyDescent="0.4">
      <c r="A489" s="59"/>
      <c r="B489" s="54"/>
      <c r="C489" s="55"/>
      <c r="D489" s="54"/>
      <c r="E489" s="54"/>
      <c r="F489" s="55"/>
      <c r="G489" s="74"/>
      <c r="H489" s="74"/>
    </row>
    <row r="490" spans="1:8" x14ac:dyDescent="0.4">
      <c r="A490" s="59"/>
      <c r="B490" s="54"/>
      <c r="C490" s="55"/>
      <c r="D490" s="54"/>
      <c r="E490" s="54"/>
      <c r="F490" s="55"/>
      <c r="G490" s="74"/>
      <c r="H490" s="74"/>
    </row>
    <row r="491" spans="1:8" x14ac:dyDescent="0.4">
      <c r="A491" s="59"/>
      <c r="B491" s="54"/>
      <c r="C491" s="55"/>
      <c r="D491" s="54"/>
      <c r="E491" s="54"/>
      <c r="F491" s="55"/>
      <c r="G491" s="74"/>
      <c r="H491" s="74"/>
    </row>
    <row r="492" spans="1:8" x14ac:dyDescent="0.4">
      <c r="A492" s="59"/>
      <c r="B492" s="54"/>
      <c r="C492" s="55"/>
      <c r="D492" s="54"/>
      <c r="E492" s="54"/>
      <c r="F492" s="55"/>
      <c r="G492" s="74"/>
      <c r="H492" s="74"/>
    </row>
    <row r="493" spans="1:8" x14ac:dyDescent="0.4">
      <c r="A493" s="59"/>
      <c r="B493" s="54"/>
      <c r="C493" s="55"/>
      <c r="D493" s="54"/>
      <c r="E493" s="54"/>
      <c r="F493" s="55"/>
      <c r="G493" s="74"/>
      <c r="H493" s="74"/>
    </row>
    <row r="494" spans="1:8" x14ac:dyDescent="0.4">
      <c r="A494" s="59"/>
      <c r="B494" s="54"/>
      <c r="C494" s="55"/>
      <c r="D494" s="54"/>
      <c r="E494" s="54"/>
      <c r="F494" s="55"/>
      <c r="G494" s="74"/>
      <c r="H494" s="74"/>
    </row>
    <row r="495" spans="1:8" x14ac:dyDescent="0.4">
      <c r="A495" s="59"/>
      <c r="B495" s="54"/>
      <c r="C495" s="55"/>
      <c r="D495" s="54"/>
      <c r="E495" s="54"/>
      <c r="F495" s="55"/>
      <c r="G495" s="74"/>
      <c r="H495" s="74"/>
    </row>
    <row r="496" spans="1:8" x14ac:dyDescent="0.4">
      <c r="A496" s="59"/>
      <c r="B496" s="54"/>
      <c r="C496" s="55"/>
      <c r="D496" s="54"/>
      <c r="E496" s="54"/>
      <c r="F496" s="55"/>
      <c r="G496" s="74"/>
      <c r="H496" s="74"/>
    </row>
    <row r="497" spans="1:8" x14ac:dyDescent="0.4">
      <c r="A497" s="59"/>
      <c r="B497" s="54"/>
      <c r="C497" s="55"/>
      <c r="D497" s="54"/>
      <c r="E497" s="54"/>
      <c r="F497" s="55"/>
      <c r="G497" s="74"/>
      <c r="H497" s="74"/>
    </row>
    <row r="498" spans="1:8" x14ac:dyDescent="0.4">
      <c r="A498" s="59"/>
      <c r="B498" s="54"/>
      <c r="C498" s="55"/>
      <c r="D498" s="54"/>
      <c r="E498" s="54"/>
      <c r="F498" s="55"/>
      <c r="G498" s="74"/>
      <c r="H498" s="74"/>
    </row>
    <row r="499" spans="1:8" x14ac:dyDescent="0.4">
      <c r="A499" s="125"/>
      <c r="B499" s="14"/>
      <c r="C499" s="119"/>
      <c r="D499" s="14"/>
      <c r="E499" s="14"/>
      <c r="F499" s="119"/>
      <c r="G499" s="74"/>
      <c r="H499" s="74"/>
    </row>
    <row r="500" spans="1:8" x14ac:dyDescent="0.4">
      <c r="A500" s="125"/>
      <c r="B500" s="14"/>
      <c r="C500" s="119"/>
      <c r="D500" s="14"/>
      <c r="E500" s="14"/>
      <c r="F500" s="119"/>
      <c r="G500" s="74"/>
      <c r="H500" s="74"/>
    </row>
    <row r="501" spans="1:8" x14ac:dyDescent="0.4">
      <c r="A501" s="125"/>
      <c r="B501" s="14"/>
      <c r="C501" s="119"/>
      <c r="D501" s="14"/>
      <c r="E501" s="14"/>
      <c r="F501" s="119"/>
      <c r="G501" s="74"/>
      <c r="H501" s="74"/>
    </row>
    <row r="502" spans="1:8" x14ac:dyDescent="0.4">
      <c r="A502" s="125"/>
      <c r="B502" s="14"/>
      <c r="C502" s="119"/>
      <c r="D502" s="14"/>
      <c r="E502" s="14"/>
      <c r="F502" s="119"/>
      <c r="G502" s="74"/>
      <c r="H502" s="74"/>
    </row>
    <row r="503" spans="1:8" x14ac:dyDescent="0.4">
      <c r="A503" s="73"/>
      <c r="B503" s="73"/>
      <c r="C503" s="118"/>
      <c r="D503" s="73"/>
      <c r="E503" s="73"/>
      <c r="F503" s="118"/>
      <c r="G503" s="74"/>
      <c r="H503" s="74"/>
    </row>
  </sheetData>
  <dataConsolidate/>
  <mergeCells count="6">
    <mergeCell ref="H261:I277"/>
    <mergeCell ref="H1:I1"/>
    <mergeCell ref="H2:I2"/>
    <mergeCell ref="H30:I39"/>
    <mergeCell ref="H127:I136"/>
    <mergeCell ref="H184:I193"/>
  </mergeCells>
  <phoneticPr fontId="2" type="noConversion"/>
  <pageMargins left="0.7" right="0.7" top="0.75" bottom="0.75" header="0.3" footer="0.3"/>
  <pageSetup paperSize="9" orientation="portrait" horizontalDpi="4294967293" verticalDpi="0" r:id="rId5"/>
  <drawing r:id="rId6"/>
  <tableParts count="4"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0DE89-63DB-47BD-BC39-E8EF4548FDD0}">
  <dimension ref="A1:D66"/>
  <sheetViews>
    <sheetView topLeftCell="A7" workbookViewId="0">
      <selection activeCell="D24" sqref="D24"/>
    </sheetView>
  </sheetViews>
  <sheetFormatPr defaultRowHeight="13.9" x14ac:dyDescent="0.4"/>
  <cols>
    <col min="1" max="1" width="16.1328125" customWidth="1"/>
    <col min="3" max="3" width="32.796875" customWidth="1"/>
    <col min="4" max="4" width="11" customWidth="1"/>
  </cols>
  <sheetData>
    <row r="1" spans="1:4" ht="60" customHeight="1" x14ac:dyDescent="0.4">
      <c r="A1" s="17" t="s">
        <v>52</v>
      </c>
      <c r="B1" s="18" t="s">
        <v>53</v>
      </c>
      <c r="C1" s="18" t="s">
        <v>54</v>
      </c>
      <c r="D1" s="19" t="s">
        <v>60</v>
      </c>
    </row>
    <row r="2" spans="1:4" x14ac:dyDescent="0.4">
      <c r="A2" s="26" t="s">
        <v>160</v>
      </c>
      <c r="B2" s="27"/>
      <c r="C2" s="27"/>
      <c r="D2" s="33"/>
    </row>
    <row r="3" spans="1:4" x14ac:dyDescent="0.4">
      <c r="A3" s="20">
        <v>45171</v>
      </c>
      <c r="B3" s="10" t="s">
        <v>0</v>
      </c>
      <c r="C3" s="12" t="s">
        <v>56</v>
      </c>
      <c r="D3" s="34">
        <v>500</v>
      </c>
    </row>
    <row r="4" spans="1:4" x14ac:dyDescent="0.4">
      <c r="A4" s="21"/>
      <c r="B4" s="10"/>
      <c r="C4" s="12" t="s">
        <v>57</v>
      </c>
      <c r="D4" s="34">
        <v>270</v>
      </c>
    </row>
    <row r="5" spans="1:4" x14ac:dyDescent="0.4">
      <c r="A5" s="20">
        <v>45178</v>
      </c>
      <c r="B5" s="10" t="s">
        <v>65</v>
      </c>
      <c r="C5" s="12" t="s">
        <v>85</v>
      </c>
      <c r="D5" s="34">
        <v>25</v>
      </c>
    </row>
    <row r="6" spans="1:4" x14ac:dyDescent="0.4">
      <c r="A6" s="20">
        <v>45179</v>
      </c>
      <c r="B6" s="10" t="s">
        <v>84</v>
      </c>
      <c r="C6" s="10" t="s">
        <v>79</v>
      </c>
      <c r="D6" s="35">
        <v>16</v>
      </c>
    </row>
    <row r="7" spans="1:4" x14ac:dyDescent="0.4">
      <c r="A7" s="22"/>
      <c r="B7" s="12"/>
      <c r="C7" s="12" t="s">
        <v>79</v>
      </c>
      <c r="D7" s="34">
        <v>8</v>
      </c>
    </row>
    <row r="8" spans="1:4" x14ac:dyDescent="0.4">
      <c r="A8" s="23">
        <v>45184</v>
      </c>
      <c r="B8" s="12" t="s">
        <v>61</v>
      </c>
      <c r="C8" s="12" t="s">
        <v>68</v>
      </c>
      <c r="D8" s="34">
        <v>100</v>
      </c>
    </row>
    <row r="9" spans="1:4" x14ac:dyDescent="0.4">
      <c r="A9" s="23">
        <v>45191</v>
      </c>
      <c r="B9" s="12" t="s">
        <v>61</v>
      </c>
      <c r="C9" s="12" t="s">
        <v>68</v>
      </c>
      <c r="D9" s="34">
        <v>90</v>
      </c>
    </row>
    <row r="10" spans="1:4" x14ac:dyDescent="0.4">
      <c r="A10" s="23">
        <v>45197</v>
      </c>
      <c r="B10" s="12" t="s">
        <v>34</v>
      </c>
      <c r="C10" s="12" t="s">
        <v>155</v>
      </c>
      <c r="D10" s="34">
        <v>200</v>
      </c>
    </row>
    <row r="11" spans="1:4" x14ac:dyDescent="0.4">
      <c r="A11" s="23">
        <v>45198</v>
      </c>
      <c r="B11" s="12" t="s">
        <v>61</v>
      </c>
      <c r="C11" s="12" t="s">
        <v>158</v>
      </c>
      <c r="D11" s="34">
        <f>3.08+1.67+0.21+0.54+0.88+1.23+0.14+1.25+0.35+0.75+2.65+4.99+3.23+0.1+0.21+1.35+0.7+0.15+0.62+1.12</f>
        <v>25.220000000000006</v>
      </c>
    </row>
    <row r="12" spans="1:4" x14ac:dyDescent="0.4">
      <c r="A12" s="22" t="s">
        <v>171</v>
      </c>
      <c r="B12" s="12" t="s">
        <v>172</v>
      </c>
      <c r="C12" s="28">
        <f>SUM(D3:D11)</f>
        <v>1234.22</v>
      </c>
      <c r="D12" s="34">
        <f>D4+D5+D6+D7+D8+D9+D11</f>
        <v>534.22</v>
      </c>
    </row>
    <row r="13" spans="1:4" x14ac:dyDescent="0.4">
      <c r="A13" s="40" t="s">
        <v>159</v>
      </c>
      <c r="B13" s="15"/>
      <c r="C13" s="41"/>
      <c r="D13" s="42"/>
    </row>
    <row r="14" spans="1:4" x14ac:dyDescent="0.4">
      <c r="A14" s="23">
        <v>45200</v>
      </c>
      <c r="B14" s="12" t="s">
        <v>88</v>
      </c>
      <c r="C14" s="12" t="s">
        <v>178</v>
      </c>
      <c r="D14" s="34">
        <f>0.5+1.47+0.64</f>
        <v>2.61</v>
      </c>
    </row>
    <row r="15" spans="1:4" x14ac:dyDescent="0.4">
      <c r="A15" s="23">
        <v>45205</v>
      </c>
      <c r="B15" s="12" t="s">
        <v>61</v>
      </c>
      <c r="C15" s="12" t="s">
        <v>56</v>
      </c>
      <c r="D15" s="34">
        <v>50</v>
      </c>
    </row>
    <row r="16" spans="1:4" x14ac:dyDescent="0.4">
      <c r="A16" s="23">
        <v>45218</v>
      </c>
      <c r="B16" s="12" t="s">
        <v>34</v>
      </c>
      <c r="C16" s="12" t="s">
        <v>68</v>
      </c>
      <c r="D16" s="34">
        <v>100</v>
      </c>
    </row>
    <row r="17" spans="1:4" x14ac:dyDescent="0.4">
      <c r="A17" s="23">
        <v>45215</v>
      </c>
      <c r="B17" s="12" t="s">
        <v>88</v>
      </c>
      <c r="C17" s="12" t="s">
        <v>239</v>
      </c>
      <c r="D17" s="34">
        <v>0.03</v>
      </c>
    </row>
    <row r="18" spans="1:4" x14ac:dyDescent="0.4">
      <c r="A18" s="23">
        <v>45216</v>
      </c>
      <c r="B18" s="12" t="s">
        <v>23</v>
      </c>
      <c r="C18" s="12" t="s">
        <v>239</v>
      </c>
      <c r="D18" s="34">
        <v>0.01</v>
      </c>
    </row>
    <row r="19" spans="1:4" x14ac:dyDescent="0.4">
      <c r="A19" s="23">
        <v>45217</v>
      </c>
      <c r="B19" s="12" t="s">
        <v>30</v>
      </c>
      <c r="C19" s="12" t="s">
        <v>239</v>
      </c>
      <c r="D19" s="34">
        <v>0.01</v>
      </c>
    </row>
    <row r="20" spans="1:4" x14ac:dyDescent="0.4">
      <c r="A20" s="23">
        <v>45228</v>
      </c>
      <c r="B20" s="12" t="s">
        <v>84</v>
      </c>
      <c r="C20" s="12" t="s">
        <v>243</v>
      </c>
      <c r="D20" s="34">
        <v>400</v>
      </c>
    </row>
    <row r="21" spans="1:4" x14ac:dyDescent="0.4">
      <c r="A21" s="22" t="s">
        <v>270</v>
      </c>
      <c r="B21" s="12" t="s">
        <v>172</v>
      </c>
      <c r="C21" s="28">
        <f>SUM(D14:D20)</f>
        <v>552.66</v>
      </c>
      <c r="D21" s="34">
        <v>20</v>
      </c>
    </row>
    <row r="22" spans="1:4" x14ac:dyDescent="0.4">
      <c r="A22" s="22"/>
      <c r="B22" s="12"/>
      <c r="C22" s="12"/>
      <c r="D22" s="34"/>
    </row>
    <row r="23" spans="1:4" x14ac:dyDescent="0.4">
      <c r="A23" s="40" t="s">
        <v>320</v>
      </c>
      <c r="B23" s="15"/>
      <c r="C23" s="15"/>
      <c r="D23" s="42"/>
    </row>
    <row r="24" spans="1:4" x14ac:dyDescent="0.4">
      <c r="A24" s="23">
        <v>45263</v>
      </c>
      <c r="B24" s="12" t="s">
        <v>84</v>
      </c>
      <c r="C24" s="12" t="s">
        <v>155</v>
      </c>
      <c r="D24" s="34">
        <v>500</v>
      </c>
    </row>
    <row r="25" spans="1:4" x14ac:dyDescent="0.4">
      <c r="A25" s="22"/>
      <c r="B25" s="12"/>
      <c r="C25" s="12"/>
      <c r="D25" s="34"/>
    </row>
    <row r="26" spans="1:4" x14ac:dyDescent="0.4">
      <c r="A26" s="22"/>
      <c r="B26" s="12"/>
      <c r="C26" s="12"/>
      <c r="D26" s="34"/>
    </row>
    <row r="27" spans="1:4" x14ac:dyDescent="0.4">
      <c r="A27" s="22"/>
      <c r="B27" s="12"/>
      <c r="C27" s="12"/>
      <c r="D27" s="34"/>
    </row>
    <row r="28" spans="1:4" x14ac:dyDescent="0.4">
      <c r="A28" s="22"/>
      <c r="B28" s="12"/>
      <c r="C28" s="12"/>
      <c r="D28" s="34"/>
    </row>
    <row r="29" spans="1:4" x14ac:dyDescent="0.4">
      <c r="A29" s="22"/>
      <c r="B29" s="12"/>
      <c r="C29" s="12"/>
      <c r="D29" s="34"/>
    </row>
    <row r="30" spans="1:4" x14ac:dyDescent="0.4">
      <c r="A30" s="22"/>
      <c r="B30" s="12"/>
      <c r="C30" s="12"/>
      <c r="D30" s="34"/>
    </row>
    <row r="31" spans="1:4" x14ac:dyDescent="0.4">
      <c r="A31" s="22"/>
      <c r="B31" s="12"/>
      <c r="C31" s="12"/>
      <c r="D31" s="34"/>
    </row>
    <row r="32" spans="1:4" x14ac:dyDescent="0.4">
      <c r="A32" s="22"/>
      <c r="B32" s="12"/>
      <c r="C32" s="12"/>
      <c r="D32" s="34"/>
    </row>
    <row r="33" spans="1:4" x14ac:dyDescent="0.4">
      <c r="A33" s="22"/>
      <c r="B33" s="12"/>
      <c r="C33" s="12"/>
      <c r="D33" s="34"/>
    </row>
    <row r="34" spans="1:4" x14ac:dyDescent="0.4">
      <c r="A34" s="22"/>
      <c r="B34" s="12"/>
      <c r="C34" s="12"/>
      <c r="D34" s="34"/>
    </row>
    <row r="35" spans="1:4" x14ac:dyDescent="0.4">
      <c r="A35" s="22"/>
      <c r="B35" s="12"/>
      <c r="C35" s="12"/>
      <c r="D35" s="34"/>
    </row>
    <row r="36" spans="1:4" x14ac:dyDescent="0.4">
      <c r="A36" s="22"/>
      <c r="B36" s="12"/>
      <c r="C36" s="12"/>
      <c r="D36" s="34"/>
    </row>
    <row r="37" spans="1:4" x14ac:dyDescent="0.4">
      <c r="A37" s="22"/>
      <c r="B37" s="12"/>
      <c r="C37" s="12"/>
      <c r="D37" s="34"/>
    </row>
    <row r="38" spans="1:4" x14ac:dyDescent="0.4">
      <c r="A38" s="22"/>
      <c r="B38" s="12"/>
      <c r="C38" s="12"/>
      <c r="D38" s="34"/>
    </row>
    <row r="39" spans="1:4" x14ac:dyDescent="0.4">
      <c r="A39" s="22"/>
      <c r="B39" s="12"/>
      <c r="C39" s="12"/>
      <c r="D39" s="34"/>
    </row>
    <row r="40" spans="1:4" x14ac:dyDescent="0.4">
      <c r="A40" s="22"/>
      <c r="B40" s="12"/>
      <c r="C40" s="12"/>
      <c r="D40" s="34"/>
    </row>
    <row r="41" spans="1:4" x14ac:dyDescent="0.4">
      <c r="A41" s="22"/>
      <c r="B41" s="12"/>
      <c r="C41" s="12"/>
      <c r="D41" s="34"/>
    </row>
    <row r="42" spans="1:4" x14ac:dyDescent="0.4">
      <c r="A42" s="22"/>
      <c r="B42" s="12"/>
      <c r="C42" s="12"/>
      <c r="D42" s="34"/>
    </row>
    <row r="43" spans="1:4" x14ac:dyDescent="0.4">
      <c r="A43" s="22"/>
      <c r="B43" s="12"/>
      <c r="C43" s="12"/>
      <c r="D43" s="34"/>
    </row>
    <row r="44" spans="1:4" x14ac:dyDescent="0.4">
      <c r="A44" s="22"/>
      <c r="B44" s="12"/>
      <c r="C44" s="12"/>
      <c r="D44" s="34"/>
    </row>
    <row r="45" spans="1:4" x14ac:dyDescent="0.4">
      <c r="A45" s="22"/>
      <c r="B45" s="12"/>
      <c r="C45" s="12"/>
      <c r="D45" s="34"/>
    </row>
    <row r="46" spans="1:4" x14ac:dyDescent="0.4">
      <c r="A46" s="22"/>
      <c r="B46" s="12"/>
      <c r="C46" s="12"/>
      <c r="D46" s="34"/>
    </row>
    <row r="47" spans="1:4" x14ac:dyDescent="0.4">
      <c r="A47" s="22"/>
      <c r="B47" s="12"/>
      <c r="C47" s="12"/>
      <c r="D47" s="34"/>
    </row>
    <row r="48" spans="1:4" x14ac:dyDescent="0.4">
      <c r="A48" s="22"/>
      <c r="B48" s="12"/>
      <c r="C48" s="12"/>
      <c r="D48" s="34"/>
    </row>
    <row r="49" spans="1:4" x14ac:dyDescent="0.4">
      <c r="A49" s="22"/>
      <c r="B49" s="12"/>
      <c r="C49" s="12"/>
      <c r="D49" s="34"/>
    </row>
    <row r="50" spans="1:4" x14ac:dyDescent="0.4">
      <c r="A50" s="22"/>
      <c r="B50" s="12"/>
      <c r="C50" s="12"/>
      <c r="D50" s="34"/>
    </row>
    <row r="51" spans="1:4" x14ac:dyDescent="0.4">
      <c r="A51" s="22"/>
      <c r="B51" s="12"/>
      <c r="C51" s="12"/>
      <c r="D51" s="34"/>
    </row>
    <row r="52" spans="1:4" x14ac:dyDescent="0.4">
      <c r="A52" s="22"/>
      <c r="B52" s="12"/>
      <c r="C52" s="12"/>
      <c r="D52" s="34"/>
    </row>
    <row r="53" spans="1:4" x14ac:dyDescent="0.4">
      <c r="A53" s="22"/>
      <c r="B53" s="12"/>
      <c r="C53" s="12"/>
      <c r="D53" s="34"/>
    </row>
    <row r="54" spans="1:4" x14ac:dyDescent="0.4">
      <c r="A54" s="22"/>
      <c r="B54" s="12"/>
      <c r="C54" s="12"/>
      <c r="D54" s="34"/>
    </row>
    <row r="55" spans="1:4" x14ac:dyDescent="0.4">
      <c r="A55" s="22"/>
      <c r="B55" s="12"/>
      <c r="C55" s="12"/>
      <c r="D55" s="34"/>
    </row>
    <row r="56" spans="1:4" x14ac:dyDescent="0.4">
      <c r="A56" s="22"/>
      <c r="B56" s="12"/>
      <c r="C56" s="12"/>
      <c r="D56" s="34"/>
    </row>
    <row r="57" spans="1:4" x14ac:dyDescent="0.4">
      <c r="A57" s="22"/>
      <c r="B57" s="12"/>
      <c r="C57" s="12"/>
      <c r="D57" s="34"/>
    </row>
    <row r="58" spans="1:4" x14ac:dyDescent="0.4">
      <c r="A58" s="22"/>
      <c r="B58" s="12"/>
      <c r="C58" s="12"/>
      <c r="D58" s="34"/>
    </row>
    <row r="59" spans="1:4" x14ac:dyDescent="0.4">
      <c r="A59" s="22"/>
      <c r="B59" s="12"/>
      <c r="C59" s="12"/>
      <c r="D59" s="34"/>
    </row>
    <row r="60" spans="1:4" x14ac:dyDescent="0.4">
      <c r="A60" s="22"/>
      <c r="B60" s="12"/>
      <c r="C60" s="12"/>
      <c r="D60" s="34"/>
    </row>
    <row r="61" spans="1:4" x14ac:dyDescent="0.4">
      <c r="A61" s="22"/>
      <c r="B61" s="12"/>
      <c r="C61" s="12"/>
      <c r="D61" s="34"/>
    </row>
    <row r="62" spans="1:4" x14ac:dyDescent="0.4">
      <c r="A62" s="22"/>
      <c r="B62" s="12"/>
      <c r="C62" s="12"/>
      <c r="D62" s="34"/>
    </row>
    <row r="63" spans="1:4" x14ac:dyDescent="0.4">
      <c r="A63" s="22"/>
      <c r="B63" s="12"/>
      <c r="C63" s="12"/>
      <c r="D63" s="34"/>
    </row>
    <row r="64" spans="1:4" x14ac:dyDescent="0.4">
      <c r="A64" s="22"/>
      <c r="B64" s="12"/>
      <c r="C64" s="12"/>
      <c r="D64" s="34"/>
    </row>
    <row r="65" spans="1:4" x14ac:dyDescent="0.4">
      <c r="A65" s="22"/>
      <c r="B65" s="12"/>
      <c r="C65" s="12"/>
      <c r="D65" s="34"/>
    </row>
    <row r="66" spans="1:4" x14ac:dyDescent="0.4">
      <c r="A66" s="24"/>
      <c r="B66" s="25"/>
      <c r="C66" s="25"/>
      <c r="D66" s="36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9815-D3D0-44CE-939A-7121A372A409}">
  <dimension ref="A1:I39"/>
  <sheetViews>
    <sheetView workbookViewId="0">
      <selection activeCell="J10" sqref="J10"/>
    </sheetView>
  </sheetViews>
  <sheetFormatPr defaultRowHeight="13.9" x14ac:dyDescent="0.4"/>
  <cols>
    <col min="2" max="2" width="34.33203125" customWidth="1"/>
    <col min="3" max="3" width="10" customWidth="1"/>
    <col min="4" max="4" width="16.9296875" customWidth="1"/>
    <col min="5" max="5" width="17.73046875" customWidth="1"/>
  </cols>
  <sheetData>
    <row r="1" spans="1:9" x14ac:dyDescent="0.4">
      <c r="A1" s="2" t="s">
        <v>38</v>
      </c>
      <c r="B1" s="2" t="s">
        <v>39</v>
      </c>
      <c r="C1" s="2" t="s">
        <v>40</v>
      </c>
      <c r="D1" s="2" t="s">
        <v>41</v>
      </c>
      <c r="E1" s="2" t="s">
        <v>140</v>
      </c>
      <c r="F1" s="2" t="s">
        <v>236</v>
      </c>
      <c r="G1" s="2" t="s">
        <v>237</v>
      </c>
      <c r="H1" s="2"/>
    </row>
    <row r="2" spans="1:9" x14ac:dyDescent="0.4">
      <c r="A2" s="3">
        <v>45146</v>
      </c>
      <c r="B2" s="2" t="s">
        <v>42</v>
      </c>
      <c r="C2" s="2" t="s">
        <v>43</v>
      </c>
      <c r="D2" s="37">
        <v>40</v>
      </c>
      <c r="E2" s="37">
        <v>130</v>
      </c>
      <c r="F2" s="2"/>
      <c r="G2" s="2"/>
      <c r="H2" s="2"/>
      <c r="I2" s="2" t="s">
        <v>48</v>
      </c>
    </row>
    <row r="3" spans="1:9" x14ac:dyDescent="0.4">
      <c r="A3" s="3">
        <v>45147</v>
      </c>
      <c r="B3" s="2" t="s">
        <v>44</v>
      </c>
      <c r="C3" s="2" t="s">
        <v>45</v>
      </c>
      <c r="D3" s="37">
        <v>30</v>
      </c>
      <c r="E3" s="37">
        <v>70</v>
      </c>
      <c r="F3" s="2"/>
      <c r="G3" s="2"/>
      <c r="H3" s="2"/>
    </row>
    <row r="4" spans="1:9" x14ac:dyDescent="0.4">
      <c r="A4" s="8">
        <v>45170</v>
      </c>
      <c r="B4" s="9" t="s">
        <v>46</v>
      </c>
      <c r="C4" s="9" t="s">
        <v>43</v>
      </c>
      <c r="D4" s="39" t="s">
        <v>47</v>
      </c>
      <c r="E4" s="39">
        <f>170-40-15</f>
        <v>115</v>
      </c>
      <c r="F4" s="2">
        <v>-55</v>
      </c>
      <c r="G4" s="2"/>
      <c r="H4" s="2"/>
    </row>
    <row r="5" spans="1:9" x14ac:dyDescent="0.4">
      <c r="A5" s="3">
        <v>45173</v>
      </c>
      <c r="B5" s="2" t="s">
        <v>49</v>
      </c>
      <c r="C5" s="2" t="s">
        <v>45</v>
      </c>
      <c r="D5" s="37">
        <v>30</v>
      </c>
      <c r="E5" s="37">
        <v>70</v>
      </c>
      <c r="F5" s="2"/>
      <c r="G5" s="2"/>
      <c r="H5" s="2"/>
    </row>
    <row r="6" spans="1:9" x14ac:dyDescent="0.4">
      <c r="A6" s="8">
        <v>45176</v>
      </c>
      <c r="B6" s="9" t="s">
        <v>50</v>
      </c>
      <c r="C6" s="9" t="s">
        <v>43</v>
      </c>
      <c r="D6" s="39">
        <v>40</v>
      </c>
      <c r="E6" s="39">
        <v>130</v>
      </c>
      <c r="F6" s="2">
        <v>-40</v>
      </c>
      <c r="G6" s="2"/>
      <c r="H6" s="2"/>
    </row>
    <row r="7" spans="1:9" x14ac:dyDescent="0.4">
      <c r="A7" s="6">
        <v>45182</v>
      </c>
      <c r="B7" s="7" t="s">
        <v>106</v>
      </c>
      <c r="C7" s="7" t="s">
        <v>45</v>
      </c>
      <c r="D7" s="38">
        <v>0</v>
      </c>
      <c r="E7" s="38">
        <v>90</v>
      </c>
      <c r="F7" s="2"/>
      <c r="G7" s="2"/>
      <c r="H7" s="2"/>
    </row>
    <row r="8" spans="1:9" x14ac:dyDescent="0.4">
      <c r="A8" s="6">
        <v>45210</v>
      </c>
      <c r="B8" s="7" t="s">
        <v>194</v>
      </c>
      <c r="C8" s="7" t="s">
        <v>45</v>
      </c>
      <c r="D8" s="38">
        <v>80</v>
      </c>
      <c r="E8" s="38">
        <v>20</v>
      </c>
      <c r="F8" s="2"/>
      <c r="G8" s="2"/>
      <c r="H8" s="2"/>
    </row>
    <row r="9" spans="1:9" x14ac:dyDescent="0.4">
      <c r="A9" s="2"/>
      <c r="B9" s="2"/>
      <c r="C9" s="2"/>
      <c r="D9" s="37"/>
      <c r="E9" s="2"/>
      <c r="F9" s="2"/>
      <c r="G9" s="2"/>
      <c r="H9" s="2"/>
    </row>
    <row r="10" spans="1:9" x14ac:dyDescent="0.4">
      <c r="A10" s="2"/>
      <c r="B10" s="2"/>
      <c r="C10" s="2"/>
      <c r="D10" s="37"/>
      <c r="E10" s="2"/>
      <c r="F10" s="2"/>
      <c r="G10" s="2"/>
      <c r="H10" s="2"/>
    </row>
    <row r="11" spans="1:9" x14ac:dyDescent="0.4">
      <c r="A11" s="2"/>
      <c r="B11" s="2"/>
      <c r="C11" s="2"/>
      <c r="D11" s="37"/>
      <c r="E11" s="2"/>
      <c r="F11" s="2"/>
      <c r="G11" s="2"/>
      <c r="H11" s="2"/>
    </row>
    <row r="12" spans="1:9" x14ac:dyDescent="0.4">
      <c r="A12" s="2"/>
      <c r="B12" s="2"/>
      <c r="C12" s="2"/>
      <c r="D12" s="37"/>
      <c r="E12" s="2"/>
      <c r="F12" s="2"/>
      <c r="G12" s="2"/>
      <c r="H12" s="2"/>
    </row>
    <row r="13" spans="1:9" x14ac:dyDescent="0.4">
      <c r="A13" s="2"/>
      <c r="B13" s="2"/>
      <c r="C13" s="2"/>
      <c r="D13" s="37"/>
      <c r="E13" s="2"/>
      <c r="F13" s="2"/>
      <c r="G13" s="2"/>
      <c r="H13" s="2"/>
    </row>
    <row r="14" spans="1:9" x14ac:dyDescent="0.4">
      <c r="A14" s="2"/>
      <c r="B14" s="2"/>
      <c r="C14" s="2"/>
      <c r="D14" s="37"/>
      <c r="E14" s="2"/>
      <c r="F14" s="2"/>
      <c r="G14" s="2"/>
      <c r="H14" s="2"/>
    </row>
    <row r="15" spans="1:9" x14ac:dyDescent="0.4">
      <c r="A15" s="2"/>
      <c r="B15" s="2"/>
      <c r="C15" s="2"/>
      <c r="D15" s="37"/>
      <c r="E15" s="2"/>
      <c r="F15" s="2"/>
      <c r="G15" s="2"/>
      <c r="H15" s="2"/>
    </row>
    <row r="16" spans="1:9" x14ac:dyDescent="0.4">
      <c r="A16" s="2"/>
      <c r="B16" s="2"/>
      <c r="C16" s="2"/>
      <c r="D16" s="37"/>
      <c r="E16" s="2"/>
      <c r="F16" s="2"/>
      <c r="G16" s="2"/>
      <c r="H16" s="2"/>
    </row>
    <row r="17" spans="1:8" x14ac:dyDescent="0.4">
      <c r="A17" s="2"/>
      <c r="B17" s="2"/>
      <c r="C17" s="2"/>
      <c r="D17" s="37"/>
      <c r="E17" s="2"/>
      <c r="F17" s="2"/>
      <c r="G17" s="2"/>
      <c r="H17" s="2"/>
    </row>
    <row r="18" spans="1:8" x14ac:dyDescent="0.4">
      <c r="A18" s="2"/>
      <c r="B18" s="2"/>
      <c r="C18" s="2"/>
      <c r="D18" s="37"/>
      <c r="E18" s="2"/>
      <c r="F18" s="2"/>
      <c r="G18" s="2"/>
      <c r="H18" s="2"/>
    </row>
    <row r="19" spans="1:8" x14ac:dyDescent="0.4">
      <c r="A19" s="2"/>
      <c r="B19" s="2"/>
      <c r="C19" s="2"/>
      <c r="D19" s="37"/>
      <c r="E19" s="2"/>
      <c r="F19" s="2"/>
      <c r="G19" s="2"/>
      <c r="H19" s="2"/>
    </row>
    <row r="20" spans="1:8" x14ac:dyDescent="0.4">
      <c r="A20" s="2"/>
      <c r="B20" s="2"/>
      <c r="C20" s="2"/>
      <c r="D20" s="37"/>
      <c r="E20" s="2"/>
      <c r="F20" s="2"/>
      <c r="G20" s="2"/>
      <c r="H20" s="2"/>
    </row>
    <row r="21" spans="1:8" x14ac:dyDescent="0.4">
      <c r="A21" s="2"/>
      <c r="B21" s="2"/>
      <c r="C21" s="2"/>
      <c r="D21" s="37"/>
      <c r="E21" s="2"/>
      <c r="F21" s="2"/>
      <c r="G21" s="2"/>
      <c r="H21" s="2"/>
    </row>
    <row r="22" spans="1:8" x14ac:dyDescent="0.4">
      <c r="A22" s="2"/>
      <c r="B22" s="2"/>
      <c r="C22" s="2"/>
      <c r="D22" s="37"/>
      <c r="E22" s="2"/>
      <c r="F22" s="2"/>
      <c r="G22" s="2"/>
      <c r="H22" s="2"/>
    </row>
    <row r="23" spans="1:8" x14ac:dyDescent="0.4">
      <c r="A23" s="2"/>
      <c r="B23" s="2"/>
      <c r="C23" s="2"/>
      <c r="D23" s="37"/>
      <c r="E23" s="2"/>
      <c r="F23" s="2"/>
      <c r="G23" s="2"/>
      <c r="H23" s="2"/>
    </row>
    <row r="24" spans="1:8" x14ac:dyDescent="0.4">
      <c r="A24" s="2"/>
      <c r="B24" s="2"/>
      <c r="C24" s="2"/>
      <c r="D24" s="37"/>
      <c r="E24" s="2"/>
      <c r="F24" s="2"/>
      <c r="G24" s="2"/>
      <c r="H24" s="2"/>
    </row>
    <row r="25" spans="1:8" x14ac:dyDescent="0.4">
      <c r="A25" s="2"/>
      <c r="B25" s="2"/>
      <c r="C25" s="2"/>
      <c r="D25" s="37"/>
      <c r="E25" s="2"/>
      <c r="F25" s="2"/>
      <c r="G25" s="2"/>
      <c r="H25" s="2"/>
    </row>
    <row r="26" spans="1:8" x14ac:dyDescent="0.4">
      <c r="A26" s="2"/>
      <c r="B26" s="2"/>
      <c r="C26" s="2"/>
      <c r="D26" s="2"/>
      <c r="E26" s="2"/>
      <c r="F26" s="2"/>
      <c r="G26" s="2"/>
      <c r="H26" s="2"/>
    </row>
    <row r="27" spans="1:8" x14ac:dyDescent="0.4">
      <c r="A27" s="2"/>
      <c r="B27" s="2"/>
      <c r="C27" s="2"/>
      <c r="D27" s="2"/>
      <c r="E27" s="2"/>
      <c r="F27" s="2"/>
      <c r="G27" s="2"/>
      <c r="H27" s="2"/>
    </row>
    <row r="28" spans="1:8" x14ac:dyDescent="0.4">
      <c r="A28" s="2"/>
      <c r="B28" s="2"/>
      <c r="C28" s="2"/>
      <c r="D28" s="2"/>
      <c r="E28" s="2"/>
      <c r="F28" s="2"/>
      <c r="G28" s="2"/>
      <c r="H28" s="2"/>
    </row>
    <row r="29" spans="1:8" x14ac:dyDescent="0.4">
      <c r="A29" s="2"/>
      <c r="B29" s="2"/>
      <c r="C29" s="2"/>
      <c r="D29" s="2"/>
      <c r="E29" s="2"/>
      <c r="F29" s="2"/>
      <c r="G29" s="2"/>
      <c r="H29" s="2"/>
    </row>
    <row r="30" spans="1:8" x14ac:dyDescent="0.4">
      <c r="A30" s="2"/>
      <c r="B30" s="2"/>
      <c r="C30" s="2"/>
      <c r="D30" s="2"/>
      <c r="E30" s="2"/>
      <c r="F30" s="2"/>
      <c r="G30" s="2"/>
      <c r="H30" s="2"/>
    </row>
    <row r="31" spans="1:8" x14ac:dyDescent="0.4">
      <c r="A31" s="2"/>
      <c r="B31" s="2"/>
      <c r="C31" s="2"/>
      <c r="D31" s="2"/>
      <c r="E31" s="2"/>
      <c r="F31" s="2"/>
      <c r="G31" s="2"/>
      <c r="H31" s="2"/>
    </row>
    <row r="32" spans="1:8" x14ac:dyDescent="0.4">
      <c r="A32" s="2"/>
      <c r="B32" s="2"/>
      <c r="C32" s="2"/>
      <c r="D32" s="2"/>
      <c r="E32" s="2"/>
      <c r="F32" s="2"/>
      <c r="G32" s="2"/>
      <c r="H32" s="2"/>
    </row>
    <row r="33" spans="1:8" x14ac:dyDescent="0.4">
      <c r="A33" s="2"/>
      <c r="B33" s="2"/>
      <c r="C33" s="2"/>
      <c r="D33" s="2"/>
      <c r="E33" s="2"/>
      <c r="F33" s="2"/>
      <c r="G33" s="2"/>
      <c r="H33" s="2"/>
    </row>
    <row r="34" spans="1:8" x14ac:dyDescent="0.4">
      <c r="A34" s="2"/>
      <c r="B34" s="2"/>
      <c r="C34" s="2"/>
      <c r="D34" s="2"/>
      <c r="E34" s="2"/>
      <c r="F34" s="2"/>
      <c r="G34" s="2"/>
      <c r="H34" s="2"/>
    </row>
    <row r="35" spans="1:8" x14ac:dyDescent="0.4">
      <c r="A35" s="2"/>
      <c r="B35" s="2"/>
      <c r="C35" s="2"/>
      <c r="D35" s="2"/>
      <c r="E35" s="2"/>
      <c r="F35" s="2"/>
      <c r="G35" s="2"/>
      <c r="H35" s="2"/>
    </row>
    <row r="36" spans="1:8" x14ac:dyDescent="0.4">
      <c r="A36" s="2"/>
      <c r="B36" s="2"/>
      <c r="C36" s="2"/>
      <c r="D36" s="2"/>
      <c r="E36" s="2"/>
      <c r="F36" s="2"/>
      <c r="G36" s="2"/>
      <c r="H36" s="2"/>
    </row>
    <row r="37" spans="1:8" x14ac:dyDescent="0.4">
      <c r="A37" s="2"/>
      <c r="B37" s="2"/>
      <c r="C37" s="2"/>
      <c r="D37" s="2"/>
      <c r="E37" s="2"/>
      <c r="F37" s="2"/>
      <c r="G37" s="2"/>
      <c r="H37" s="2"/>
    </row>
    <row r="38" spans="1:8" x14ac:dyDescent="0.4">
      <c r="A38" s="2"/>
      <c r="B38" s="2"/>
      <c r="C38" s="2"/>
      <c r="D38" s="2"/>
      <c r="E38" s="2"/>
      <c r="F38" s="2"/>
      <c r="G38" s="2"/>
      <c r="H38" s="2"/>
    </row>
    <row r="39" spans="1:8" x14ac:dyDescent="0.4">
      <c r="A39" s="2"/>
      <c r="B39" s="2"/>
      <c r="C39" s="2"/>
      <c r="D39" s="2"/>
      <c r="E39" s="2"/>
      <c r="F39" s="2"/>
      <c r="G39" s="2"/>
      <c r="H39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C095-C54B-4B39-8285-7BC8DB6928D4}">
  <dimension ref="A1:S110"/>
  <sheetViews>
    <sheetView topLeftCell="A61" zoomScale="92" zoomScaleNormal="92" workbookViewId="0">
      <selection activeCell="E68" sqref="E68"/>
    </sheetView>
  </sheetViews>
  <sheetFormatPr defaultRowHeight="13.9" x14ac:dyDescent="0.4"/>
  <cols>
    <col min="1" max="1" width="10.59765625" customWidth="1"/>
    <col min="2" max="2" width="71.1328125" customWidth="1"/>
    <col min="3" max="3" width="40.19921875" customWidth="1"/>
    <col min="5" max="5" width="24" customWidth="1"/>
    <col min="6" max="6" width="18.265625" customWidth="1"/>
    <col min="7" max="7" width="22.33203125" customWidth="1"/>
  </cols>
  <sheetData>
    <row r="1" spans="1:19" ht="19.899999999999999" customHeight="1" x14ac:dyDescent="0.4">
      <c r="A1" s="2" t="s">
        <v>52</v>
      </c>
      <c r="B1" s="2" t="s">
        <v>51</v>
      </c>
      <c r="C1" s="2" t="s">
        <v>58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46.15" customHeight="1" x14ac:dyDescent="0.4">
      <c r="A2" s="5" t="s">
        <v>160</v>
      </c>
      <c r="B2" s="5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4">
      <c r="A3" s="4">
        <v>45173</v>
      </c>
      <c r="B3" s="1" t="s">
        <v>26</v>
      </c>
      <c r="C3" s="1" t="s">
        <v>101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4">
      <c r="A4" s="4">
        <v>45175</v>
      </c>
      <c r="B4" s="1" t="s">
        <v>25</v>
      </c>
      <c r="C4" s="1" t="s">
        <v>89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4">
      <c r="A5" s="3">
        <v>45178</v>
      </c>
      <c r="B5" s="2" t="s">
        <v>71</v>
      </c>
      <c r="C5" s="2">
        <v>380.15</v>
      </c>
      <c r="D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4">
      <c r="A6" s="3" t="s">
        <v>81</v>
      </c>
      <c r="B6" s="2" t="s">
        <v>80</v>
      </c>
      <c r="C6" s="2">
        <v>1742.43</v>
      </c>
      <c r="D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4">
      <c r="A7" s="3">
        <v>45173</v>
      </c>
      <c r="B7" s="1" t="s">
        <v>82</v>
      </c>
      <c r="C7" s="2">
        <v>6008.5</v>
      </c>
      <c r="D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4">
      <c r="A8" s="3">
        <v>45173</v>
      </c>
      <c r="B8" s="1" t="s">
        <v>83</v>
      </c>
      <c r="C8" s="2">
        <v>450.8</v>
      </c>
      <c r="D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4">
      <c r="A9" s="3">
        <v>45179</v>
      </c>
      <c r="B9" s="1" t="s">
        <v>82</v>
      </c>
      <c r="C9" s="2">
        <v>5145.8999999999996</v>
      </c>
      <c r="D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4">
      <c r="A10" s="3"/>
      <c r="B10" s="1" t="s">
        <v>86</v>
      </c>
      <c r="C10" s="2">
        <v>70</v>
      </c>
      <c r="D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4">
      <c r="A11" s="2"/>
      <c r="B11" s="2" t="s">
        <v>87</v>
      </c>
      <c r="C11" s="2">
        <v>41</v>
      </c>
      <c r="D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4">
      <c r="A12" s="3">
        <v>45180</v>
      </c>
      <c r="B12" s="2" t="s">
        <v>90</v>
      </c>
      <c r="C12" s="2" t="s">
        <v>91</v>
      </c>
      <c r="D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4">
      <c r="A13" s="2"/>
      <c r="B13" s="2" t="s">
        <v>100</v>
      </c>
      <c r="C13" s="2"/>
      <c r="D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4">
      <c r="A14" s="2"/>
      <c r="B14" s="2" t="s">
        <v>94</v>
      </c>
      <c r="C14" s="2">
        <f>3.05/4.88</f>
        <v>0.625</v>
      </c>
      <c r="D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4">
      <c r="A15" s="2"/>
      <c r="B15" s="2" t="s">
        <v>95</v>
      </c>
      <c r="C15" s="2">
        <f>3.18/5.08</f>
        <v>0.62598425196850394</v>
      </c>
      <c r="D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4">
      <c r="A16" s="2"/>
      <c r="B16" s="2" t="s">
        <v>96</v>
      </c>
      <c r="C16" s="2">
        <f>5.14/8.23</f>
        <v>0.62454434993924657</v>
      </c>
      <c r="D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4">
      <c r="A17" s="2"/>
      <c r="B17" s="2" t="s">
        <v>99</v>
      </c>
      <c r="C17" s="2">
        <f>0.84/1.35</f>
        <v>0.62222222222222212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4">
      <c r="A18" s="2"/>
      <c r="B18" s="2" t="s">
        <v>97</v>
      </c>
      <c r="C18" s="2">
        <f>1.04/1.66</f>
        <v>0.62650602409638556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4">
      <c r="A19" s="2"/>
      <c r="B19" s="2" t="s">
        <v>98</v>
      </c>
      <c r="C19" s="2">
        <f>0.06/0.09</f>
        <v>0.66666666666666663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4">
      <c r="A20" s="3">
        <v>45182</v>
      </c>
      <c r="B20" s="2" t="s">
        <v>107</v>
      </c>
      <c r="C20" s="2">
        <v>415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4">
      <c r="A21" s="3">
        <v>45184</v>
      </c>
      <c r="B21" s="2" t="s">
        <v>109</v>
      </c>
      <c r="C21" s="2">
        <v>4913.8900000000003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4">
      <c r="A22" s="2"/>
      <c r="B22" s="2" t="s">
        <v>110</v>
      </c>
      <c r="C22" s="2">
        <v>1468.11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4">
      <c r="A23" s="3">
        <v>45187</v>
      </c>
      <c r="B23" s="2" t="s">
        <v>109</v>
      </c>
      <c r="C23" s="2">
        <v>4493.8900000000003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4">
      <c r="A24" s="2"/>
      <c r="B24" s="2" t="s">
        <v>110</v>
      </c>
      <c r="C24" s="2">
        <v>1888.11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4">
      <c r="A25" s="2" t="s">
        <v>130</v>
      </c>
      <c r="B25" s="2" t="s">
        <v>131</v>
      </c>
      <c r="C25" s="2">
        <v>618.08000000000004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4">
      <c r="A26" s="2" t="s">
        <v>132</v>
      </c>
      <c r="B26" s="2" t="s">
        <v>133</v>
      </c>
      <c r="C26" s="2">
        <v>2387.0100000000002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9" x14ac:dyDescent="0.4">
      <c r="A27" s="3">
        <v>45193</v>
      </c>
      <c r="B27" s="2" t="s">
        <v>144</v>
      </c>
      <c r="C27" s="2">
        <v>2608.7600000000002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9" x14ac:dyDescent="0.4">
      <c r="A28" s="2" t="s">
        <v>146</v>
      </c>
      <c r="B28" s="2" t="s">
        <v>145</v>
      </c>
      <c r="C28" s="2">
        <v>273.75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9" x14ac:dyDescent="0.4">
      <c r="A29" s="2"/>
      <c r="B29" s="2" t="s">
        <v>109</v>
      </c>
      <c r="C29" s="2">
        <v>4394.88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9" x14ac:dyDescent="0.4">
      <c r="A30" s="2"/>
      <c r="B30" s="2" t="s">
        <v>110</v>
      </c>
      <c r="C30" s="2">
        <v>2078.11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9" x14ac:dyDescent="0.4">
      <c r="A31" s="2" t="s">
        <v>161</v>
      </c>
      <c r="B31" s="2" t="s">
        <v>168</v>
      </c>
      <c r="C31" s="2">
        <v>191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9" x14ac:dyDescent="0.4">
      <c r="A32" s="2" t="s">
        <v>169</v>
      </c>
      <c r="B32" s="2" t="s">
        <v>170</v>
      </c>
      <c r="C32" s="2">
        <f>C6+C25+C28+C31</f>
        <v>2825.26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4">
      <c r="A33" s="2" t="s">
        <v>169</v>
      </c>
      <c r="B33" s="2" t="s">
        <v>173</v>
      </c>
      <c r="C33" s="2">
        <v>1234.22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4">
      <c r="A34" s="2" t="s">
        <v>169</v>
      </c>
      <c r="B34" s="2" t="s">
        <v>174</v>
      </c>
      <c r="C34" s="2">
        <f>C32-C33</f>
        <v>1591.0400000000002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4">
      <c r="A38" s="73"/>
      <c r="B38" s="73"/>
      <c r="C38" s="7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4">
      <c r="A39" s="74"/>
      <c r="B39" s="74"/>
      <c r="C39" s="74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2.4" customHeight="1" x14ac:dyDescent="0.4">
      <c r="A40" s="74"/>
      <c r="B40" s="74"/>
      <c r="C40" s="7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65.25" customHeight="1" x14ac:dyDescent="0.4">
      <c r="A41" s="67" t="s">
        <v>52</v>
      </c>
      <c r="B41" s="68" t="s">
        <v>51</v>
      </c>
      <c r="C41" s="69" t="s">
        <v>58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9.5" customHeight="1" x14ac:dyDescent="0.4">
      <c r="A42" s="40" t="s">
        <v>159</v>
      </c>
      <c r="B42" s="15"/>
      <c r="C42" s="46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4">
      <c r="A43" s="22" t="s">
        <v>190</v>
      </c>
      <c r="B43" s="12" t="s">
        <v>189</v>
      </c>
      <c r="C43" s="70">
        <v>155.79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4">
      <c r="A44" s="23">
        <v>45213</v>
      </c>
      <c r="B44" s="12" t="s">
        <v>205</v>
      </c>
      <c r="C44" s="7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4">
      <c r="A45" s="22" t="s">
        <v>210</v>
      </c>
      <c r="B45" s="12" t="s">
        <v>225</v>
      </c>
      <c r="C45" s="70">
        <f>15000-8988</f>
        <v>6012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4">
      <c r="A46" s="22"/>
      <c r="B46" s="12" t="s">
        <v>226</v>
      </c>
      <c r="C46" s="70">
        <f>6012/3</f>
        <v>2004</v>
      </c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4">
      <c r="A47" s="22"/>
      <c r="B47" s="12" t="s">
        <v>227</v>
      </c>
      <c r="C47" s="70">
        <f>720+10+375.02+20.25</f>
        <v>1125.27</v>
      </c>
    </row>
    <row r="48" spans="1:14" x14ac:dyDescent="0.4">
      <c r="A48" s="71"/>
      <c r="B48" s="58" t="s">
        <v>228</v>
      </c>
      <c r="C48" s="7">
        <v>2798.73</v>
      </c>
    </row>
    <row r="49" spans="1:3" x14ac:dyDescent="0.4">
      <c r="A49" s="22"/>
      <c r="B49" s="12" t="s">
        <v>229</v>
      </c>
      <c r="C49" s="70">
        <f>C48-C46</f>
        <v>794.73</v>
      </c>
    </row>
    <row r="50" spans="1:3" x14ac:dyDescent="0.4">
      <c r="A50" s="22"/>
      <c r="B50" s="12" t="s">
        <v>230</v>
      </c>
      <c r="C50" s="70">
        <f>C46-1200</f>
        <v>804</v>
      </c>
    </row>
    <row r="51" spans="1:3" x14ac:dyDescent="0.4">
      <c r="A51" s="22"/>
      <c r="B51" s="12" t="s">
        <v>231</v>
      </c>
      <c r="C51" s="70">
        <v>1234.22</v>
      </c>
    </row>
    <row r="52" spans="1:3" x14ac:dyDescent="0.4">
      <c r="A52" s="22"/>
      <c r="B52" s="12" t="s">
        <v>232</v>
      </c>
      <c r="C52" s="70">
        <f>2798.73-1234.22</f>
        <v>1564.51</v>
      </c>
    </row>
    <row r="53" spans="1:3" x14ac:dyDescent="0.4">
      <c r="A53" s="22"/>
      <c r="B53" s="12"/>
      <c r="C53" s="70"/>
    </row>
    <row r="54" spans="1:3" ht="42.75" customHeight="1" x14ac:dyDescent="0.4">
      <c r="A54" s="40" t="s">
        <v>271</v>
      </c>
      <c r="B54" s="15"/>
      <c r="C54" s="46"/>
    </row>
    <row r="55" spans="1:3" x14ac:dyDescent="0.4">
      <c r="A55" s="23">
        <v>45252</v>
      </c>
      <c r="B55" s="12" t="s">
        <v>303</v>
      </c>
      <c r="C55" s="70">
        <f>SUM(支出!C193:C234)</f>
        <v>1208.6399999999999</v>
      </c>
    </row>
    <row r="56" spans="1:3" x14ac:dyDescent="0.4">
      <c r="A56" s="23">
        <v>45252</v>
      </c>
      <c r="B56" s="12" t="s">
        <v>304</v>
      </c>
      <c r="C56" s="70">
        <v>1729.41</v>
      </c>
    </row>
    <row r="57" spans="1:3" x14ac:dyDescent="0.4">
      <c r="A57" s="22"/>
      <c r="B57" s="12" t="s">
        <v>305</v>
      </c>
      <c r="C57" s="70">
        <f>2000+3000+10000-8963-1729.41</f>
        <v>4307.59</v>
      </c>
    </row>
    <row r="58" spans="1:3" x14ac:dyDescent="0.4">
      <c r="A58" s="22"/>
      <c r="B58" s="12" t="s">
        <v>306</v>
      </c>
      <c r="C58" s="70">
        <f>1500*3</f>
        <v>4500</v>
      </c>
    </row>
    <row r="59" spans="1:3" x14ac:dyDescent="0.4">
      <c r="A59" s="23">
        <v>45255</v>
      </c>
      <c r="B59" s="12" t="s">
        <v>311</v>
      </c>
      <c r="C59" s="70">
        <f>支出!C238+支出!F235+支出!F236</f>
        <v>131.15</v>
      </c>
    </row>
    <row r="60" spans="1:3" x14ac:dyDescent="0.4">
      <c r="A60" s="23">
        <v>45260</v>
      </c>
      <c r="B60" s="12" t="s">
        <v>217</v>
      </c>
      <c r="C60" s="70">
        <v>1532.44</v>
      </c>
    </row>
    <row r="61" spans="1:3" x14ac:dyDescent="0.4">
      <c r="A61" s="22" t="s">
        <v>271</v>
      </c>
      <c r="B61" s="12" t="s">
        <v>324</v>
      </c>
      <c r="C61" s="70">
        <v>640</v>
      </c>
    </row>
    <row r="62" spans="1:3" x14ac:dyDescent="0.4">
      <c r="A62" s="22"/>
      <c r="B62" s="12"/>
      <c r="C62" s="70"/>
    </row>
    <row r="63" spans="1:3" x14ac:dyDescent="0.4">
      <c r="A63" s="22"/>
      <c r="B63" s="12"/>
      <c r="C63" s="70"/>
    </row>
    <row r="64" spans="1:3" ht="70.900000000000006" customHeight="1" x14ac:dyDescent="0.4">
      <c r="A64" s="40" t="s">
        <v>320</v>
      </c>
      <c r="B64" s="15"/>
      <c r="C64" s="46"/>
    </row>
    <row r="65" spans="1:3" x14ac:dyDescent="0.4">
      <c r="A65" s="23">
        <v>45271</v>
      </c>
      <c r="B65" s="12" t="s">
        <v>341</v>
      </c>
      <c r="C65" s="70">
        <f>SUM(支出!F263:F284)</f>
        <v>652.17000000000007</v>
      </c>
    </row>
    <row r="66" spans="1:3" x14ac:dyDescent="0.4">
      <c r="A66" s="23">
        <v>45269</v>
      </c>
      <c r="B66" s="12" t="s">
        <v>342</v>
      </c>
      <c r="C66" s="70">
        <f>支出!F276+支出!F280+支出!F281</f>
        <v>287</v>
      </c>
    </row>
    <row r="67" spans="1:3" x14ac:dyDescent="0.4">
      <c r="A67" s="23">
        <v>45271</v>
      </c>
      <c r="B67" s="12" t="s">
        <v>343</v>
      </c>
      <c r="C67" s="70">
        <f>356.6+61*2+620+372.07</f>
        <v>1470.6699999999998</v>
      </c>
    </row>
    <row r="68" spans="1:3" x14ac:dyDescent="0.4">
      <c r="A68" s="22"/>
      <c r="B68" s="12" t="s">
        <v>344</v>
      </c>
      <c r="C68" s="70">
        <v>113.4</v>
      </c>
    </row>
    <row r="69" spans="1:3" x14ac:dyDescent="0.4">
      <c r="A69" s="23">
        <v>45278</v>
      </c>
      <c r="B69" s="12" t="s">
        <v>354</v>
      </c>
      <c r="C69" s="70">
        <f>SUM(支出!C263:C298)</f>
        <v>1383.59</v>
      </c>
    </row>
    <row r="70" spans="1:3" x14ac:dyDescent="0.4">
      <c r="A70" s="22"/>
      <c r="B70" s="12"/>
      <c r="C70" s="70"/>
    </row>
    <row r="71" spans="1:3" x14ac:dyDescent="0.4">
      <c r="A71" s="22"/>
      <c r="B71" s="12"/>
      <c r="C71" s="70"/>
    </row>
    <row r="72" spans="1:3" x14ac:dyDescent="0.4">
      <c r="A72" s="22"/>
      <c r="B72" s="12"/>
      <c r="C72" s="70"/>
    </row>
    <row r="73" spans="1:3" x14ac:dyDescent="0.4">
      <c r="A73" s="22"/>
      <c r="B73" s="12"/>
      <c r="C73" s="70"/>
    </row>
    <row r="74" spans="1:3" x14ac:dyDescent="0.4">
      <c r="A74" s="22"/>
      <c r="B74" s="12"/>
      <c r="C74" s="70"/>
    </row>
    <row r="75" spans="1:3" x14ac:dyDescent="0.4">
      <c r="A75" s="22"/>
      <c r="B75" s="12"/>
      <c r="C75" s="70"/>
    </row>
    <row r="76" spans="1:3" x14ac:dyDescent="0.4">
      <c r="A76" s="22"/>
      <c r="B76" s="12"/>
      <c r="C76" s="70"/>
    </row>
    <row r="77" spans="1:3" x14ac:dyDescent="0.4">
      <c r="A77" s="22"/>
      <c r="B77" s="12"/>
      <c r="C77" s="70"/>
    </row>
    <row r="78" spans="1:3" x14ac:dyDescent="0.4">
      <c r="A78" s="22"/>
      <c r="B78" s="12"/>
      <c r="C78" s="70"/>
    </row>
    <row r="79" spans="1:3" x14ac:dyDescent="0.4">
      <c r="A79" s="22"/>
      <c r="B79" s="12"/>
      <c r="C79" s="70"/>
    </row>
    <row r="80" spans="1:3" x14ac:dyDescent="0.4">
      <c r="A80" s="22"/>
      <c r="B80" s="12"/>
      <c r="C80" s="70"/>
    </row>
    <row r="81" spans="1:3" x14ac:dyDescent="0.4">
      <c r="A81" s="22"/>
      <c r="B81" s="12"/>
      <c r="C81" s="70"/>
    </row>
    <row r="82" spans="1:3" x14ac:dyDescent="0.4">
      <c r="A82" s="22"/>
      <c r="B82" s="12"/>
      <c r="C82" s="70"/>
    </row>
    <row r="83" spans="1:3" x14ac:dyDescent="0.4">
      <c r="A83" s="22"/>
      <c r="B83" s="12"/>
      <c r="C83" s="70"/>
    </row>
    <row r="84" spans="1:3" x14ac:dyDescent="0.4">
      <c r="A84" s="22"/>
      <c r="B84" s="12"/>
      <c r="C84" s="70"/>
    </row>
    <row r="85" spans="1:3" x14ac:dyDescent="0.4">
      <c r="A85" s="22"/>
      <c r="B85" s="12"/>
      <c r="C85" s="70"/>
    </row>
    <row r="86" spans="1:3" x14ac:dyDescent="0.4">
      <c r="A86" s="22"/>
      <c r="B86" s="12"/>
      <c r="C86" s="70"/>
    </row>
    <row r="87" spans="1:3" x14ac:dyDescent="0.4">
      <c r="A87" s="22"/>
      <c r="B87" s="12"/>
      <c r="C87" s="70"/>
    </row>
    <row r="88" spans="1:3" x14ac:dyDescent="0.4">
      <c r="A88" s="22"/>
      <c r="B88" s="12"/>
      <c r="C88" s="70"/>
    </row>
    <row r="89" spans="1:3" x14ac:dyDescent="0.4">
      <c r="A89" s="22"/>
      <c r="B89" s="12"/>
      <c r="C89" s="70"/>
    </row>
    <row r="90" spans="1:3" x14ac:dyDescent="0.4">
      <c r="A90" s="22"/>
      <c r="B90" s="12"/>
      <c r="C90" s="70"/>
    </row>
    <row r="91" spans="1:3" x14ac:dyDescent="0.4">
      <c r="A91" s="22"/>
      <c r="B91" s="12"/>
      <c r="C91" s="70"/>
    </row>
    <row r="92" spans="1:3" x14ac:dyDescent="0.4">
      <c r="A92" s="22"/>
      <c r="B92" s="12"/>
      <c r="C92" s="70"/>
    </row>
    <row r="93" spans="1:3" x14ac:dyDescent="0.4">
      <c r="A93" s="22"/>
      <c r="B93" s="12"/>
      <c r="C93" s="70"/>
    </row>
    <row r="94" spans="1:3" x14ac:dyDescent="0.4">
      <c r="A94" s="22"/>
      <c r="B94" s="12"/>
      <c r="C94" s="70"/>
    </row>
    <row r="95" spans="1:3" x14ac:dyDescent="0.4">
      <c r="A95" s="22"/>
      <c r="B95" s="12"/>
      <c r="C95" s="70"/>
    </row>
    <row r="96" spans="1:3" x14ac:dyDescent="0.4">
      <c r="A96" s="22"/>
      <c r="B96" s="12"/>
      <c r="C96" s="70"/>
    </row>
    <row r="97" spans="1:3" x14ac:dyDescent="0.4">
      <c r="A97" s="22"/>
      <c r="B97" s="12"/>
      <c r="C97" s="70"/>
    </row>
    <row r="98" spans="1:3" x14ac:dyDescent="0.4">
      <c r="A98" s="22"/>
      <c r="B98" s="12"/>
      <c r="C98" s="70"/>
    </row>
    <row r="99" spans="1:3" x14ac:dyDescent="0.4">
      <c r="A99" s="22"/>
      <c r="B99" s="12"/>
      <c r="C99" s="70"/>
    </row>
    <row r="100" spans="1:3" x14ac:dyDescent="0.4">
      <c r="A100" s="22"/>
      <c r="B100" s="12"/>
      <c r="C100" s="70"/>
    </row>
    <row r="101" spans="1:3" x14ac:dyDescent="0.4">
      <c r="A101" s="22"/>
      <c r="B101" s="12"/>
      <c r="C101" s="70"/>
    </row>
    <row r="102" spans="1:3" x14ac:dyDescent="0.4">
      <c r="A102" s="22"/>
      <c r="B102" s="12"/>
      <c r="C102" s="70"/>
    </row>
    <row r="103" spans="1:3" x14ac:dyDescent="0.4">
      <c r="A103" s="22"/>
      <c r="B103" s="12"/>
      <c r="C103" s="70"/>
    </row>
    <row r="104" spans="1:3" x14ac:dyDescent="0.4">
      <c r="A104" s="22"/>
      <c r="B104" s="12"/>
      <c r="C104" s="70"/>
    </row>
    <row r="105" spans="1:3" x14ac:dyDescent="0.4">
      <c r="A105" s="22"/>
      <c r="B105" s="12"/>
      <c r="C105" s="70"/>
    </row>
    <row r="106" spans="1:3" x14ac:dyDescent="0.4">
      <c r="A106" s="22"/>
      <c r="B106" s="12"/>
      <c r="C106" s="70"/>
    </row>
    <row r="107" spans="1:3" x14ac:dyDescent="0.4">
      <c r="A107" s="22"/>
      <c r="B107" s="12"/>
      <c r="C107" s="70"/>
    </row>
    <row r="108" spans="1:3" x14ac:dyDescent="0.4">
      <c r="A108" s="22"/>
      <c r="B108" s="12"/>
      <c r="C108" s="70"/>
    </row>
    <row r="109" spans="1:3" x14ac:dyDescent="0.4">
      <c r="A109" s="22"/>
      <c r="B109" s="12"/>
      <c r="C109" s="70"/>
    </row>
    <row r="110" spans="1:3" x14ac:dyDescent="0.4">
      <c r="A110" s="24"/>
      <c r="B110" s="25"/>
      <c r="C110" s="72"/>
    </row>
  </sheetData>
  <phoneticPr fontId="2" type="noConversion"/>
  <conditionalFormatting sqref="C14:C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{5039BB4E-A7C4-458B-86BE-1F3C6DF4E0F3}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39BB4E-A7C4-458B-86BE-1F3C6DF4E0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C14:C19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49A5E5-E256-4877-9124-AC46C78812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支出</vt:lpstr>
      <vt:lpstr>收入</vt:lpstr>
      <vt:lpstr>8.9月办卡业务统计区</vt:lpstr>
      <vt:lpstr>其他统计</vt:lpstr>
      <vt:lpstr>其他统计!ref_6_3066550</vt:lpstr>
      <vt:lpstr>其他统计!ref_7_3066550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bunee</cp:lastModifiedBy>
  <dcterms:created xsi:type="dcterms:W3CDTF">2023-09-04T19:26:15Z</dcterms:created>
  <dcterms:modified xsi:type="dcterms:W3CDTF">2024-12-21T14:28:15Z</dcterms:modified>
</cp:coreProperties>
</file>